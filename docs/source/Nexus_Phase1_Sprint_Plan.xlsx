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Read me" sheetId="1" state="visible" r:id="rId1"/>
    <sheet name="Sprint plan" sheetId="2" state="visible" r:id="rId2"/>
    <sheet name="Hiring" sheetId="3" state="visible" r:id="rId3"/>
    <sheet name="Backlog" sheetId="4" state="visible" r:id="rId4"/>
    <sheet name="Architecture" sheetId="5" state="visible" r:id="rId5"/>
    <sheet name="Future" sheetId="6" state="visible" r:id="rId6"/>
  </sheets>
  <definedNames>
    <definedName name="_xlnm._FilterDatabase" localSheetId="3" hidden="1">'Backlog'!$A$1:$O$77</definedName>
  </definedNames>
  <calcPr calcId="124519" fullCalcOnLoad="1" refMode="A1" iterate="0" iterateCount="100" iterateDelta="0.0001"/>
</workbook>
</file>

<file path=xl/styles.xml><?xml version="1.0" encoding="utf-8"?>
<styleSheet xmlns="http://schemas.openxmlformats.org/spreadsheetml/2006/main">
  <numFmts count="0"/>
  <fonts count="9">
    <font>
      <name val="Calibri"/>
      <charset val="1"/>
      <family val="2"/>
      <color theme="1"/>
      <sz val="11"/>
    </font>
    <font>
      <name val="Arial"/>
      <family val="0"/>
      <sz val="10"/>
    </font>
    <font>
      <name val="Arial"/>
      <family val="0"/>
      <sz val="10"/>
    </font>
    <font>
      <name val="Arial"/>
      <family val="0"/>
      <sz val="10"/>
    </font>
    <font>
      <name val="Arial"/>
      <charset val="1"/>
      <family val="0"/>
      <b val="1"/>
      <color rgb="FF1F3A5F"/>
      <sz val="14"/>
    </font>
    <font>
      <name val="Arial"/>
      <charset val="1"/>
      <family val="0"/>
      <b val="1"/>
      <sz val="10"/>
    </font>
    <font>
      <name val="Arial"/>
      <charset val="1"/>
      <family val="0"/>
      <sz val="10"/>
    </font>
    <font>
      <name val="Arial"/>
      <charset val="1"/>
      <family val="0"/>
      <b val="1"/>
      <color rgb="FFFFFFFF"/>
      <sz val="10"/>
    </font>
    <font>
      <name val="Arial"/>
      <charset val="1"/>
      <family val="0"/>
      <i val="1"/>
      <sz val="9"/>
    </font>
  </fonts>
  <fills count="4">
    <fill>
      <patternFill/>
    </fill>
    <fill>
      <patternFill patternType="gray125"/>
    </fill>
    <fill>
      <patternFill patternType="solid">
        <fgColor rgb="FF1F3A5F"/>
        <bgColor rgb="FF333333"/>
      </patternFill>
    </fill>
    <fill>
      <patternFill patternType="solid">
        <fgColor rgb="FFFFF4CC"/>
        <bgColor rgb="FFFFFFFF"/>
      </patternFill>
    </fill>
  </fills>
  <borders count="2">
    <border>
      <left/>
      <right/>
      <top/>
      <bottom/>
      <diagonal/>
    </border>
    <border>
      <left style="thin">
        <color rgb="FFD0D7E2"/>
      </left>
      <right style="thin">
        <color rgb="FFD0D7E2"/>
      </right>
      <top style="thin">
        <color rgb="FFD0D7E2"/>
      </top>
      <bottom style="thin">
        <color rgb="FFD0D7E2"/>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7">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top" wrapText="1"/>
    </xf>
    <xf numFmtId="0" fontId="7" fillId="2" borderId="1" applyAlignment="1" pivotButton="0" quotePrefix="0" xfId="0">
      <alignment horizontal="general" vertical="center" wrapText="1"/>
    </xf>
    <xf numFmtId="0" fontId="6" fillId="0" borderId="1" applyAlignment="1" pivotButton="0" quotePrefix="0" xfId="0">
      <alignment horizontal="general" vertical="top" wrapText="1"/>
    </xf>
    <xf numFmtId="9" fontId="6" fillId="0" borderId="1" applyAlignment="1" pivotButton="0" quotePrefix="0" xfId="0">
      <alignment horizontal="general" vertical="top" wrapText="1"/>
    </xf>
    <xf numFmtId="9" fontId="5" fillId="0" borderId="0" applyAlignment="1" pivotButton="0" quotePrefix="0" xfId="0">
      <alignment horizontal="general" vertical="bottom"/>
    </xf>
    <xf numFmtId="0" fontId="8" fillId="0" borderId="0" applyAlignment="1" pivotButton="0" quotePrefix="0" xfId="0">
      <alignment horizontal="general" vertical="bottom"/>
    </xf>
    <xf numFmtId="0" fontId="7" fillId="2" borderId="1" applyAlignment="1" pivotButton="0" quotePrefix="0" xfId="0">
      <alignment horizontal="general" vertical="bottom" wrapText="1"/>
    </xf>
    <xf numFmtId="0" fontId="5" fillId="0" borderId="1" applyAlignment="1" pivotButton="0" quotePrefix="0" xfId="0">
      <alignment horizontal="general" vertical="top" wrapText="1"/>
    </xf>
    <xf numFmtId="0" fontId="6" fillId="3" borderId="1" applyAlignment="1" pivotButton="0" quotePrefix="0" xfId="0">
      <alignment horizontal="general" vertical="top" wrapText="1"/>
    </xf>
    <xf numFmtId="0" fontId="7" fillId="2" borderId="1"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top" wrapText="1"/>
    </xf>
    <xf numFmtId="0" fontId="7" fillId="2" borderId="1" applyAlignment="1" pivotButton="0" quotePrefix="0" xfId="0">
      <alignment horizontal="general" vertical="center" wrapText="1"/>
    </xf>
    <xf numFmtId="0" fontId="6" fillId="0" borderId="1" applyAlignment="1" pivotButton="0" quotePrefix="0" xfId="0">
      <alignment horizontal="general" vertical="top" wrapText="1"/>
    </xf>
    <xf numFmtId="9" fontId="6" fillId="0" borderId="1" applyAlignment="1" pivotButton="0" quotePrefix="0" xfId="0">
      <alignment horizontal="general" vertical="top" wrapText="1"/>
    </xf>
    <xf numFmtId="9" fontId="5" fillId="0" borderId="0" applyAlignment="1" pivotButton="0" quotePrefix="0" xfId="0">
      <alignment horizontal="general" vertical="bottom"/>
    </xf>
    <xf numFmtId="0" fontId="8" fillId="0" borderId="0" applyAlignment="1" pivotButton="0" quotePrefix="0" xfId="0">
      <alignment horizontal="general" vertical="bottom"/>
    </xf>
    <xf numFmtId="0" fontId="7" fillId="2" borderId="1" applyAlignment="1" pivotButton="0" quotePrefix="0" xfId="0">
      <alignment horizontal="general" vertical="bottom" wrapText="1"/>
    </xf>
    <xf numFmtId="0" fontId="5" fillId="0" borderId="1" applyAlignment="1" pivotButton="0" quotePrefix="0" xfId="0">
      <alignment horizontal="general" vertical="top" wrapText="1"/>
    </xf>
    <xf numFmtId="0" fontId="6" fillId="3" borderId="1" applyAlignment="1" pivotButton="0" quotePrefix="0" xfId="0">
      <alignment horizontal="general" vertical="top" wrapText="1"/>
    </xf>
    <xf numFmtId="0" fontId="7" fillId="2" borderId="1"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6">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FFF4CC"/>
          <bgColor rgb="FF000000"/>
        </patternFill>
      </fill>
    </dxf>
    <dxf>
      <fill>
        <patternFill>
          <bgColor rgb="FFF8D7DA"/>
        </patternFill>
      </fill>
    </dxf>
    <dxf>
      <fill>
        <patternFill>
          <bgColor rgb="FFD8EFD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4CC"/>
      <rgbColor rgb="FFCCFFFF"/>
      <rgbColor rgb="FF660066"/>
      <rgbColor rgb="FFFF8080"/>
      <rgbColor rgb="FF0066CC"/>
      <rgbColor rgb="FFD0D7E2"/>
      <rgbColor rgb="FF000080"/>
      <rgbColor rgb="FFFF00FF"/>
      <rgbColor rgb="FFFFFF00"/>
      <rgbColor rgb="FF00FFFF"/>
      <rgbColor rgb="FF800080"/>
      <rgbColor rgb="FF800000"/>
      <rgbColor rgb="FF008080"/>
      <rgbColor rgb="FF0000FF"/>
      <rgbColor rgb="FF00CCFF"/>
      <rgbColor rgb="FFCCFFFF"/>
      <rgbColor rgb="FFD8EFDD"/>
      <rgbColor rgb="FFFFFF99"/>
      <rgbColor rgb="FF99CCFF"/>
      <rgbColor rgb="FFFF99CC"/>
      <rgbColor rgb="FFCC99FF"/>
      <rgbColor rgb="FFF8D7DA"/>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12"/>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0" customWidth="1" style="13" min="1" max="1"/>
    <col width="110" customWidth="1" style="13" min="2" max="2"/>
  </cols>
  <sheetData>
    <row r="1" ht="17.35" customHeight="1" s="14">
      <c r="A1" s="15" t="inlineStr">
        <is>
          <t>Nexus phase 1: sprint sheet</t>
        </is>
      </c>
    </row>
    <row r="3" ht="35.05" customHeight="1" s="14">
      <c r="A3" s="16" t="inlineStr">
        <is>
          <t>Scope</t>
        </is>
      </c>
      <c r="B3" s="17" t="inlineStr">
        <is>
          <t>Only what comes from DATOMS, Microsoft Entra ID (sign-in and access) and the map. Items from the brief whose source is not known yet (tracked materials, weather, gallery and drone library, manpower and HSE, live CCTV, project details DATOMS lacks) are on the Future tab and are added once their source is confirmed.</t>
        </is>
      </c>
    </row>
    <row r="4" ht="23.85" customHeight="1" s="14">
      <c r="A4" s="16" t="inlineStr">
        <is>
          <t>Team</t>
        </is>
      </c>
      <c r="B4" s="17" t="inlineStr">
        <is>
          <t>Today: 2 people (you on backend, your colleague on frontend). More people will be hired: each task names the Role that owns it once hired, and 'Now done by' shows who does it until then. See the Hiring tab.</t>
        </is>
      </c>
    </row>
    <row r="5" ht="15" customHeight="1" s="14">
      <c r="A5" s="16" t="inlineStr">
        <is>
          <t>Sprint length</t>
        </is>
      </c>
      <c r="B5" s="17" t="inlineStr">
        <is>
          <t>2 weeks (assumption: no deadline set). Change the Weeks column on Sprint plan if you pick another length.</t>
        </is>
      </c>
    </row>
    <row r="6" ht="15" customHeight="1" s="14">
      <c r="A6" s="16" t="inlineStr">
        <is>
          <t>Capacity</t>
        </is>
      </c>
      <c r="B6" s="17" t="inlineStr">
        <is>
          <t>About 8 working days per person per sprint, leaving room for meetings, reviews and fixes.</t>
        </is>
      </c>
    </row>
    <row r="7" ht="15" customHeight="1" s="14">
      <c r="A7" s="16" t="inlineStr">
        <is>
          <t>Total</t>
        </is>
      </c>
      <c r="B7" s="17" t="inlineStr">
        <is>
          <t>11 sprints, about 22 weeks, if the DATOMS API documentation arrives by sprint 2.</t>
        </is>
      </c>
    </row>
    <row r="8" ht="23.85" customHeight="1" s="14">
      <c r="A8" s="16" t="inlineStr">
        <is>
          <t>How to use</t>
        </is>
      </c>
      <c r="B8" s="17" t="inlineStr">
        <is>
          <t>Work sprint by sprint. On the Backlog tab, filter Sprint (e.g. S0), then Week (W1, W2). Each task has numbered Steps, the Output that should exist when done, and an Acceptance check. Update Status (yellow cells); Sprint plan totals and % done update by themselves.</t>
        </is>
      </c>
    </row>
    <row r="9" ht="15" customHeight="1" s="14">
      <c r="A9" s="16" t="inlineStr">
        <is>
          <t>When someone joins</t>
        </is>
      </c>
      <c r="B9" s="17" t="inlineStr">
        <is>
          <t>Change 'Now done by' to their name for their Role's tasks. With more people, later sprints can run in parallel and the 26 weeks shrinks.</t>
        </is>
      </c>
    </row>
    <row r="10" ht="15" customHeight="1" s="14">
      <c r="A10" s="16" t="inlineStr">
        <is>
          <t>Status values</t>
        </is>
      </c>
      <c r="B10" s="17" t="inlineStr">
        <is>
          <t>Not started · In progress · Blocked · Done. A Blocked row turns red; a Done row turns green.</t>
        </is>
      </c>
    </row>
    <row r="11" ht="15" customHeight="1" s="14">
      <c r="A11" s="16" t="inlineStr">
        <is>
          <t>External blocker</t>
        </is>
      </c>
      <c r="B11" s="17" t="inlineStr">
        <is>
          <t>Anything outside your control (DATOMS answers, access, pilot users). If it isn't ready, swap in a task from a later sprint that has none.</t>
        </is>
      </c>
    </row>
    <row r="12" ht="15" customHeight="1" s="14">
      <c r="A12" s="16" t="inlineStr">
        <is>
          <t>Requirement</t>
        </is>
      </c>
      <c r="B12" s="17" t="inlineStr">
        <is>
          <t>Where the task comes from: 'Sheet: ...' = structure sheet, 'Brief: ...' = project brief, 'Innovo: ...' = Innovo's answers.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L15"/>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8" customWidth="1" style="13" min="1" max="1"/>
    <col width="24" customWidth="1" style="13" min="2" max="2"/>
    <col width="8" customWidth="1" style="13" min="3" max="3"/>
    <col width="48" customWidth="1" style="13" min="4" max="4"/>
    <col width="34" customWidth="1" style="13" min="5" max="5"/>
    <col width="7" customWidth="1" style="13" min="6" max="6"/>
    <col width="10" customWidth="1" style="13" min="7" max="8"/>
    <col width="9" customWidth="1" style="13" min="9" max="11"/>
    <col width="8" customWidth="1" style="13" min="12" max="12"/>
  </cols>
  <sheetData>
    <row r="1" ht="35.05" customHeight="1" s="14">
      <c r="A1" s="18" t="inlineStr">
        <is>
          <t>Sprint</t>
        </is>
      </c>
      <c r="B1" s="18" t="inlineStr">
        <is>
          <t>Name</t>
        </is>
      </c>
      <c r="C1" s="18" t="inlineStr">
        <is>
          <t>Weeks</t>
        </is>
      </c>
      <c r="D1" s="18" t="inlineStr">
        <is>
          <t>Goal (demo at the end)</t>
        </is>
      </c>
      <c r="E1" s="18" t="inlineStr">
        <is>
          <t>External dependency</t>
        </is>
      </c>
      <c r="F1" s="18" t="inlineStr">
        <is>
          <t>Tasks</t>
        </is>
      </c>
      <c r="G1" s="18" t="inlineStr">
        <is>
          <t>You (backend) days</t>
        </is>
      </c>
      <c r="H1" s="18" t="inlineStr">
        <is>
          <t>Colleague (frontend) days</t>
        </is>
      </c>
      <c r="I1" s="18" t="inlineStr">
        <is>
          <t>Shared days</t>
        </is>
      </c>
      <c r="J1" s="18" t="inlineStr">
        <is>
          <t>Total days</t>
        </is>
      </c>
      <c r="K1" s="18" t="inlineStr">
        <is>
          <t>Done days</t>
        </is>
      </c>
      <c r="L1" s="18" t="inlineStr">
        <is>
          <t>% done</t>
        </is>
      </c>
    </row>
    <row r="2" ht="35.05" customHeight="1" s="14">
      <c r="A2" s="19" t="inlineStr">
        <is>
          <t>S0</t>
        </is>
      </c>
      <c r="B2" s="19" t="inlineStr">
        <is>
          <t>Setup + map decision</t>
        </is>
      </c>
      <c r="C2" s="19" t="inlineStr">
        <is>
          <t>1–2</t>
        </is>
      </c>
      <c r="D2" s="19" t="inlineStr">
        <is>
          <t>Repos, Azure dev environment, Microsoft sign-in skeleton, design tokens, ArcGIS map wrapper skeleton</t>
        </is>
      </c>
      <c r="E2" s="19" t="inlineStr">
        <is>
          <t>Azure and Entra access; map decision</t>
        </is>
      </c>
      <c r="F2" s="19">
        <f>COUNTIF(Backlog!$B$2:$B$77,A2)</f>
        <v/>
      </c>
      <c r="G2" s="19">
        <f>SUMIFS(Backlog!$M$2:$M$77,Backlog!$B$2:$B$77,A2,Backlog!$I$2:$I$77,"You (backend)")</f>
        <v/>
      </c>
      <c r="H2" s="19">
        <f>SUMIFS(Backlog!$M$2:$M$77,Backlog!$B$2:$B$77,A2,Backlog!$I$2:$I$77,"Colleague (frontend)")</f>
        <v/>
      </c>
      <c r="I2" s="19">
        <f>SUMIFS(Backlog!$M$2:$M$77,Backlog!$B$2:$B$77,A2,Backlog!$I$2:$I$77,"Both")</f>
        <v/>
      </c>
      <c r="J2" s="19">
        <f>SUMIF(Backlog!$B$2:$B$77,A2,Backlog!$M$2:$M$77)</f>
        <v/>
      </c>
      <c r="K2" s="19">
        <f>SUMIFS(Backlog!$M$2:$M$77,Backlog!$B$2:$B$77,A2,Backlog!$N$2:$N$77,"Done")</f>
        <v/>
      </c>
      <c r="L2" s="20">
        <f>IF(J2=0,0,K2/J2)</f>
        <v/>
      </c>
    </row>
    <row r="3" ht="23.85" customHeight="1" s="14">
      <c r="A3" s="19" t="inlineStr">
        <is>
          <t>S1</t>
        </is>
      </c>
      <c r="B3" s="19" t="inlineStr">
        <is>
          <t>Foundation</t>
        </is>
      </c>
      <c r="C3" s="19" t="inlineStr">
        <is>
          <t>3–4</t>
        </is>
      </c>
      <c r="D3" s="19" t="inlineStr">
        <is>
          <t>Data model, permissions in the API, app shell, responsive layout</t>
        </is>
      </c>
      <c r="E3" s="19" t="inlineStr">
        <is>
          <t>Nothing</t>
        </is>
      </c>
      <c r="F3" s="19">
        <f>COUNTIF(Backlog!$B$2:$B$77,A3)</f>
        <v/>
      </c>
      <c r="G3" s="19">
        <f>SUMIFS(Backlog!$M$2:$M$77,Backlog!$B$2:$B$77,A3,Backlog!$I$2:$I$77,"You (backend)")</f>
        <v/>
      </c>
      <c r="H3" s="19">
        <f>SUMIFS(Backlog!$M$2:$M$77,Backlog!$B$2:$B$77,A3,Backlog!$I$2:$I$77,"Colleague (frontend)")</f>
        <v/>
      </c>
      <c r="I3" s="19">
        <f>SUMIFS(Backlog!$M$2:$M$77,Backlog!$B$2:$B$77,A3,Backlog!$I$2:$I$77,"Both")</f>
        <v/>
      </c>
      <c r="J3" s="19">
        <f>SUMIF(Backlog!$B$2:$B$77,A3,Backlog!$M$2:$M$77)</f>
        <v/>
      </c>
      <c r="K3" s="19">
        <f>SUMIFS(Backlog!$M$2:$M$77,Backlog!$B$2:$B$77,A3,Backlog!$N$2:$N$77,"Done")</f>
        <v/>
      </c>
      <c r="L3" s="20">
        <f>IF(J3=0,0,K3/J3)</f>
        <v/>
      </c>
    </row>
    <row r="4" ht="23.85" customHeight="1" s="14">
      <c r="A4" s="19" t="inlineStr">
        <is>
          <t>S2</t>
        </is>
      </c>
      <c r="B4" s="19" t="inlineStr">
        <is>
          <t>Portfolio map + access</t>
        </is>
      </c>
      <c r="C4" s="19" t="inlineStr">
        <is>
          <t>5–6</t>
        </is>
      </c>
      <c r="D4" s="19" t="inlineStr">
        <is>
          <t>Top-level map of all DATOMS sites; DATOMS client; users and roles API</t>
        </is>
      </c>
      <c r="E4" s="19" t="inlineStr">
        <is>
          <t>DATOMS sample bulk response + bulk field list (Q21, Q22)</t>
        </is>
      </c>
      <c r="F4" s="19">
        <f>COUNTIF(Backlog!$B$2:$B$77,A4)</f>
        <v/>
      </c>
      <c r="G4" s="19">
        <f>SUMIFS(Backlog!$M$2:$M$77,Backlog!$B$2:$B$77,A4,Backlog!$I$2:$I$77,"You (backend)")</f>
        <v/>
      </c>
      <c r="H4" s="19">
        <f>SUMIFS(Backlog!$M$2:$M$77,Backlog!$B$2:$B$77,A4,Backlog!$I$2:$I$77,"Colleague (frontend)")</f>
        <v/>
      </c>
      <c r="I4" s="19">
        <f>SUMIFS(Backlog!$M$2:$M$77,Backlog!$B$2:$B$77,A4,Backlog!$I$2:$I$77,"Both")</f>
        <v/>
      </c>
      <c r="J4" s="19">
        <f>SUMIF(Backlog!$B$2:$B$77,A4,Backlog!$M$2:$M$77)</f>
        <v/>
      </c>
      <c r="K4" s="19">
        <f>SUMIFS(Backlog!$M$2:$M$77,Backlog!$B$2:$B$77,A4,Backlog!$N$2:$N$77,"Done")</f>
        <v/>
      </c>
      <c r="L4" s="20">
        <f>IF(J4=0,0,K4/J4)</f>
        <v/>
      </c>
    </row>
    <row r="5" ht="23.85" customHeight="1" s="14">
      <c r="A5" s="19" t="inlineStr">
        <is>
          <t>S3</t>
        </is>
      </c>
      <c r="B5" s="19" t="inlineStr">
        <is>
          <t>DATOMS sync + admin</t>
        </is>
      </c>
      <c r="C5" s="19" t="inlineStr">
        <is>
          <t>7–8</t>
        </is>
      </c>
      <c r="D5" s="19" t="inlineStr">
        <is>
          <t>Live DATOMS data flowing; device linking, sync health, users and roles screens</t>
        </is>
      </c>
      <c r="E5" s="19" t="inlineStr">
        <is>
          <t>DATOMS sample + field list (Q21, Q22) + key</t>
        </is>
      </c>
      <c r="F5" s="19">
        <f>COUNTIF(Backlog!$B$2:$B$77,A5)</f>
        <v/>
      </c>
      <c r="G5" s="19">
        <f>SUMIFS(Backlog!$M$2:$M$77,Backlog!$B$2:$B$77,A5,Backlog!$I$2:$I$77,"You (backend)")</f>
        <v/>
      </c>
      <c r="H5" s="19">
        <f>SUMIFS(Backlog!$M$2:$M$77,Backlog!$B$2:$B$77,A5,Backlog!$I$2:$I$77,"Colleague (frontend)")</f>
        <v/>
      </c>
      <c r="I5" s="19">
        <f>SUMIFS(Backlog!$M$2:$M$77,Backlog!$B$2:$B$77,A5,Backlog!$I$2:$I$77,"Both")</f>
        <v/>
      </c>
      <c r="J5" s="19">
        <f>SUMIF(Backlog!$B$2:$B$77,A5,Backlog!$M$2:$M$77)</f>
        <v/>
      </c>
      <c r="K5" s="19">
        <f>SUMIFS(Backlog!$M$2:$M$77,Backlog!$B$2:$B$77,A5,Backlog!$N$2:$N$77,"Done")</f>
        <v/>
      </c>
      <c r="L5" s="20">
        <f>IF(J5=0,0,K5/J5)</f>
        <v/>
      </c>
    </row>
    <row r="6" ht="23.85" customHeight="1" s="14">
      <c r="A6" s="19" t="inlineStr">
        <is>
          <t>S4</t>
        </is>
      </c>
      <c r="B6" s="19" t="inlineStr">
        <is>
          <t>Project page</t>
        </is>
      </c>
      <c r="C6" s="19" t="inlineStr">
        <is>
          <t>9–10</t>
        </is>
      </c>
      <c r="D6" s="19" t="inlineStr">
        <is>
          <t>Level 1 page with live asset pins and equipment / energy boxes</t>
        </is>
      </c>
      <c r="E6" s="19" t="inlineStr">
        <is>
          <t>Bulk field names for location + status (Q22)</t>
        </is>
      </c>
      <c r="F6" s="19">
        <f>COUNTIF(Backlog!$B$2:$B$77,A6)</f>
        <v/>
      </c>
      <c r="G6" s="19">
        <f>SUMIFS(Backlog!$M$2:$M$77,Backlog!$B$2:$B$77,A6,Backlog!$I$2:$I$77,"You (backend)")</f>
        <v/>
      </c>
      <c r="H6" s="19">
        <f>SUMIFS(Backlog!$M$2:$M$77,Backlog!$B$2:$B$77,A6,Backlog!$I$2:$I$77,"Colleague (frontend)")</f>
        <v/>
      </c>
      <c r="I6" s="19">
        <f>SUMIFS(Backlog!$M$2:$M$77,Backlog!$B$2:$B$77,A6,Backlog!$I$2:$I$77,"Both")</f>
        <v/>
      </c>
      <c r="J6" s="19">
        <f>SUMIF(Backlog!$B$2:$B$77,A6,Backlog!$M$2:$M$77)</f>
        <v/>
      </c>
      <c r="K6" s="19">
        <f>SUMIFS(Backlog!$M$2:$M$77,Backlog!$B$2:$B$77,A6,Backlog!$N$2:$N$77,"Done")</f>
        <v/>
      </c>
      <c r="L6" s="20">
        <f>IF(J6=0,0,K6/J6)</f>
        <v/>
      </c>
    </row>
    <row r="7" ht="15" customHeight="1" s="14">
      <c r="A7" s="19" t="inlineStr">
        <is>
          <t>S5</t>
        </is>
      </c>
      <c r="B7" s="19" t="inlineStr">
        <is>
          <t>Energy</t>
        </is>
      </c>
      <c r="C7" s="19" t="inlineStr">
        <is>
          <t>11–12</t>
        </is>
      </c>
      <c r="D7" s="19" t="inlineStr">
        <is>
          <t>Info box 3 and energy detail page; load-test harness</t>
        </is>
      </c>
      <c r="E7" s="19" t="inlineStr">
        <is>
          <t>Whether DATOMS has site totals and ownership (Q3); field names (Q22)</t>
        </is>
      </c>
      <c r="F7" s="19">
        <f>COUNTIF(Backlog!$B$2:$B$77,A7)</f>
        <v/>
      </c>
      <c r="G7" s="19">
        <f>SUMIFS(Backlog!$M$2:$M$77,Backlog!$B$2:$B$77,A7,Backlog!$I$2:$I$77,"You (backend)")</f>
        <v/>
      </c>
      <c r="H7" s="19">
        <f>SUMIFS(Backlog!$M$2:$M$77,Backlog!$B$2:$B$77,A7,Backlog!$I$2:$I$77,"Colleague (frontend)")</f>
        <v/>
      </c>
      <c r="I7" s="19">
        <f>SUMIFS(Backlog!$M$2:$M$77,Backlog!$B$2:$B$77,A7,Backlog!$I$2:$I$77,"Both")</f>
        <v/>
      </c>
      <c r="J7" s="19">
        <f>SUMIF(Backlog!$B$2:$B$77,A7,Backlog!$M$2:$M$77)</f>
        <v/>
      </c>
      <c r="K7" s="19">
        <f>SUMIFS(Backlog!$M$2:$M$77,Backlog!$B$2:$B$77,A7,Backlog!$N$2:$N$77,"Done")</f>
        <v/>
      </c>
      <c r="L7" s="20">
        <f>IF(J7=0,0,K7/J7)</f>
        <v/>
      </c>
    </row>
    <row r="8" ht="23.85" customHeight="1" s="14">
      <c r="A8" s="19" t="inlineStr">
        <is>
          <t>S6</t>
        </is>
      </c>
      <c r="B8" s="19" t="inlineStr">
        <is>
          <t>Equipment + notifications</t>
        </is>
      </c>
      <c r="C8" s="19" t="inlineStr">
        <is>
          <t>13–14</t>
        </is>
      </c>
      <c r="D8" s="19" t="inlineStr">
        <is>
          <t>Info box 2, equipment detail, device card, DATOMS notifications</t>
        </is>
      </c>
      <c r="E8" s="19" t="inlineStr">
        <is>
          <t>Alert field names in the bulk response (Q22)</t>
        </is>
      </c>
      <c r="F8" s="19">
        <f>COUNTIF(Backlog!$B$2:$B$77,A8)</f>
        <v/>
      </c>
      <c r="G8" s="19">
        <f>SUMIFS(Backlog!$M$2:$M$77,Backlog!$B$2:$B$77,A8,Backlog!$I$2:$I$77,"You (backend)")</f>
        <v/>
      </c>
      <c r="H8" s="19">
        <f>SUMIFS(Backlog!$M$2:$M$77,Backlog!$B$2:$B$77,A8,Backlog!$I$2:$I$77,"Colleague (frontend)")</f>
        <v/>
      </c>
      <c r="I8" s="19">
        <f>SUMIFS(Backlog!$M$2:$M$77,Backlog!$B$2:$B$77,A8,Backlog!$I$2:$I$77,"Both")</f>
        <v/>
      </c>
      <c r="J8" s="19">
        <f>SUMIF(Backlog!$B$2:$B$77,A8,Backlog!$M$2:$M$77)</f>
        <v/>
      </c>
      <c r="K8" s="19">
        <f>SUMIFS(Backlog!$M$2:$M$77,Backlog!$B$2:$B$77,A8,Backlog!$N$2:$N$77,"Done")</f>
        <v/>
      </c>
      <c r="L8" s="20">
        <f>IF(J8=0,0,K8/J8)</f>
        <v/>
      </c>
    </row>
    <row r="9" ht="23.85" customHeight="1" s="14">
      <c r="A9" s="19" t="inlineStr">
        <is>
          <t>S7</t>
        </is>
      </c>
      <c r="B9" s="19" t="inlineStr">
        <is>
          <t>Explorer + hardening</t>
        </is>
      </c>
      <c r="C9" s="19" t="inlineStr">
        <is>
          <t>15–16</t>
        </is>
      </c>
      <c r="D9" s="19" t="inlineStr">
        <is>
          <t>All DATOMS data explorer, security hardening, production environment, mobile polish</t>
        </is>
      </c>
      <c r="E9" s="19" t="inlineStr">
        <is>
          <t>Nothing</t>
        </is>
      </c>
      <c r="F9" s="19">
        <f>COUNTIF(Backlog!$B$2:$B$77,A9)</f>
        <v/>
      </c>
      <c r="G9" s="19">
        <f>SUMIFS(Backlog!$M$2:$M$77,Backlog!$B$2:$B$77,A9,Backlog!$I$2:$I$77,"You (backend)")</f>
        <v/>
      </c>
      <c r="H9" s="19">
        <f>SUMIFS(Backlog!$M$2:$M$77,Backlog!$B$2:$B$77,A9,Backlog!$I$2:$I$77,"Colleague (frontend)")</f>
        <v/>
      </c>
      <c r="I9" s="19">
        <f>SUMIFS(Backlog!$M$2:$M$77,Backlog!$B$2:$B$77,A9,Backlog!$I$2:$I$77,"Both")</f>
        <v/>
      </c>
      <c r="J9" s="19">
        <f>SUMIF(Backlog!$B$2:$B$77,A9,Backlog!$M$2:$M$77)</f>
        <v/>
      </c>
      <c r="K9" s="19">
        <f>SUMIFS(Backlog!$M$2:$M$77,Backlog!$B$2:$B$77,A9,Backlog!$N$2:$N$77,"Done")</f>
        <v/>
      </c>
      <c r="L9" s="20">
        <f>IF(J9=0,0,K9/J9)</f>
        <v/>
      </c>
    </row>
    <row r="10" ht="23.85" customHeight="1" s="14">
      <c r="A10" s="19" t="inlineStr">
        <is>
          <t>S8</t>
        </is>
      </c>
      <c r="B10" s="19" t="inlineStr">
        <is>
          <t>Load and security</t>
        </is>
      </c>
      <c r="C10" s="19" t="inlineStr">
        <is>
          <t>17–18</t>
        </is>
      </c>
      <c r="D10" s="19" t="inlineStr">
        <is>
          <t>Load test at 100+ sites, backups and alerts, penetration test, user guide</t>
        </is>
      </c>
      <c r="E10" s="19" t="inlineStr">
        <is>
          <t>Pen-test slot</t>
        </is>
      </c>
      <c r="F10" s="19">
        <f>COUNTIF(Backlog!$B$2:$B$77,A10)</f>
        <v/>
      </c>
      <c r="G10" s="19">
        <f>SUMIFS(Backlog!$M$2:$M$77,Backlog!$B$2:$B$77,A10,Backlog!$I$2:$I$77,"You (backend)")</f>
        <v/>
      </c>
      <c r="H10" s="19">
        <f>SUMIFS(Backlog!$M$2:$M$77,Backlog!$B$2:$B$77,A10,Backlog!$I$2:$I$77,"Colleague (frontend)")</f>
        <v/>
      </c>
      <c r="I10" s="19">
        <f>SUMIFS(Backlog!$M$2:$M$77,Backlog!$B$2:$B$77,A10,Backlog!$I$2:$I$77,"Both")</f>
        <v/>
      </c>
      <c r="J10" s="19">
        <f>SUMIF(Backlog!$B$2:$B$77,A10,Backlog!$M$2:$M$77)</f>
        <v/>
      </c>
      <c r="K10" s="19">
        <f>SUMIFS(Backlog!$M$2:$M$77,Backlog!$B$2:$B$77,A10,Backlog!$N$2:$N$77,"Done")</f>
        <v/>
      </c>
      <c r="L10" s="20">
        <f>IF(J10=0,0,K10/J10)</f>
        <v/>
      </c>
    </row>
    <row r="11" ht="15" customHeight="1" s="14">
      <c r="A11" s="19" t="inlineStr">
        <is>
          <t>S9</t>
        </is>
      </c>
      <c r="B11" s="19" t="inlineStr">
        <is>
          <t>Pilot (GHAFWOODS)</t>
        </is>
      </c>
      <c r="C11" s="19" t="inlineStr">
        <is>
          <t>19–20</t>
        </is>
      </c>
      <c r="D11" s="19" t="inlineStr">
        <is>
          <t>Testing with pilot users, fixes, runbook</t>
        </is>
      </c>
      <c r="E11" s="19" t="inlineStr">
        <is>
          <t>Pilot users</t>
        </is>
      </c>
      <c r="F11" s="19">
        <f>COUNTIF(Backlog!$B$2:$B$77,A11)</f>
        <v/>
      </c>
      <c r="G11" s="19">
        <f>SUMIFS(Backlog!$M$2:$M$77,Backlog!$B$2:$B$77,A11,Backlog!$I$2:$I$77,"You (backend)")</f>
        <v/>
      </c>
      <c r="H11" s="19">
        <f>SUMIFS(Backlog!$M$2:$M$77,Backlog!$B$2:$B$77,A11,Backlog!$I$2:$I$77,"Colleague (frontend)")</f>
        <v/>
      </c>
      <c r="I11" s="19">
        <f>SUMIFS(Backlog!$M$2:$M$77,Backlog!$B$2:$B$77,A11,Backlog!$I$2:$I$77,"Both")</f>
        <v/>
      </c>
      <c r="J11" s="19">
        <f>SUMIF(Backlog!$B$2:$B$77,A11,Backlog!$M$2:$M$77)</f>
        <v/>
      </c>
      <c r="K11" s="19">
        <f>SUMIFS(Backlog!$M$2:$M$77,Backlog!$B$2:$B$77,A11,Backlog!$N$2:$N$77,"Done")</f>
        <v/>
      </c>
      <c r="L11" s="20">
        <f>IF(J11=0,0,K11/J11)</f>
        <v/>
      </c>
    </row>
    <row r="12" ht="15" customHeight="1" s="14">
      <c r="A12" s="19" t="inlineStr">
        <is>
          <t>S10</t>
        </is>
      </c>
      <c r="B12" s="19" t="inlineStr">
        <is>
          <t>Rollout</t>
        </is>
      </c>
      <c r="C12" s="19" t="inlineStr">
        <is>
          <t>21–22</t>
        </is>
      </c>
      <c r="D12" s="19" t="inlineStr">
        <is>
          <t>All DATOMS sites live, onboarding, plan the next scope</t>
        </is>
      </c>
      <c r="E12" s="19" t="inlineStr">
        <is>
          <t>Nothing</t>
        </is>
      </c>
      <c r="F12" s="19">
        <f>COUNTIF(Backlog!$B$2:$B$77,A12)</f>
        <v/>
      </c>
      <c r="G12" s="19">
        <f>SUMIFS(Backlog!$M$2:$M$77,Backlog!$B$2:$B$77,A12,Backlog!$I$2:$I$77,"You (backend)")</f>
        <v/>
      </c>
      <c r="H12" s="19">
        <f>SUMIFS(Backlog!$M$2:$M$77,Backlog!$B$2:$B$77,A12,Backlog!$I$2:$I$77,"Colleague (frontend)")</f>
        <v/>
      </c>
      <c r="I12" s="19">
        <f>SUMIFS(Backlog!$M$2:$M$77,Backlog!$B$2:$B$77,A12,Backlog!$I$2:$I$77,"Both")</f>
        <v/>
      </c>
      <c r="J12" s="19">
        <f>SUMIF(Backlog!$B$2:$B$77,A12,Backlog!$M$2:$M$77)</f>
        <v/>
      </c>
      <c r="K12" s="19">
        <f>SUMIFS(Backlog!$M$2:$M$77,Backlog!$B$2:$B$77,A12,Backlog!$N$2:$N$77,"Done")</f>
        <v/>
      </c>
      <c r="L12" s="20">
        <f>IF(J12=0,0,K12/J12)</f>
        <v/>
      </c>
    </row>
    <row r="13" ht="15" customHeight="1" s="14">
      <c r="A13" s="16" t="inlineStr">
        <is>
          <t>Total</t>
        </is>
      </c>
      <c r="F13" s="16">
        <f>SUM(F2:F12)</f>
        <v/>
      </c>
      <c r="G13" s="16">
        <f>SUM(G2:G12)</f>
        <v/>
      </c>
      <c r="H13" s="16">
        <f>SUM(H2:H12)</f>
        <v/>
      </c>
      <c r="I13" s="16">
        <f>SUM(I2:I12)</f>
        <v/>
      </c>
      <c r="J13" s="16">
        <f>SUM(J2:J12)</f>
        <v/>
      </c>
      <c r="K13" s="16">
        <f>SUM(K2:K12)</f>
        <v/>
      </c>
      <c r="L13" s="21">
        <f>IF(J13=0,0,K13/J13)</f>
        <v/>
      </c>
    </row>
    <row r="15" ht="15" customHeight="1" s="14">
      <c r="A15" s="22" t="inlineStr">
        <is>
          <t>Capacity check: Backend days and Frontend days per sprint should stay at or under about 8 (2-week sprint, 1 person each, plus shared days).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G1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3" min="1" max="1"/>
    <col width="28" customWidth="1" style="13" min="2" max="2"/>
    <col width="9" customWidth="1" style="13" min="3" max="3"/>
    <col width="20" customWidth="1" style="13" min="4" max="4"/>
    <col width="7" customWidth="1" style="13" min="5" max="6"/>
    <col width="60" customWidth="1" style="13" min="7" max="7"/>
  </cols>
  <sheetData>
    <row r="1" ht="17.35" customHeight="1" s="14">
      <c r="A1" s="15" t="inlineStr">
        <is>
          <t>Hiring plan: who joins when, and what they take over</t>
        </is>
      </c>
    </row>
    <row r="3" ht="15" customHeight="1" s="14">
      <c r="A3" s="23" t="inlineStr">
        <is>
          <t>Order</t>
        </is>
      </c>
      <c r="B3" s="23" t="inlineStr">
        <is>
          <t>Role</t>
        </is>
      </c>
      <c r="C3" s="23" t="inlineStr">
        <is>
          <t>Join by</t>
        </is>
      </c>
      <c r="D3" s="23" t="inlineStr">
        <is>
          <t>Takes over from</t>
        </is>
      </c>
      <c r="E3" s="23" t="inlineStr">
        <is>
          <t>Tasks</t>
        </is>
      </c>
      <c r="F3" s="23" t="inlineStr">
        <is>
          <t>Days</t>
        </is>
      </c>
      <c r="G3" s="23" t="inlineStr">
        <is>
          <t>Why at this point</t>
        </is>
      </c>
    </row>
    <row r="4" ht="15" customHeight="1" s="14">
      <c r="A4" s="19" t="n">
        <v>1</v>
      </c>
      <c r="B4" s="19" t="inlineStr">
        <is>
          <t>DevOps engineer</t>
        </is>
      </c>
      <c r="C4" s="19" t="inlineStr">
        <is>
          <t>S0</t>
        </is>
      </c>
      <c r="D4" s="19" t="inlineStr">
        <is>
          <t>You (backend)</t>
        </is>
      </c>
      <c r="E4" s="19">
        <f>COUNTIF(Backlog!$H$2:$H$77,B4)</f>
        <v/>
      </c>
      <c r="F4" s="19">
        <f>SUMIF(Backlog!$H$2:$H$77,B4,Backlog!$M$2:$M$77)</f>
        <v/>
      </c>
      <c r="G4" s="19" t="inlineStr">
        <is>
          <t>Azure environments, pipelines and security are set up right from day one</t>
        </is>
      </c>
    </row>
    <row r="5" ht="15" customHeight="1" s="14">
      <c r="A5" s="19" t="n">
        <v>2</v>
      </c>
      <c r="B5" s="19" t="inlineStr">
        <is>
          <t>UI/UX designer</t>
        </is>
      </c>
      <c r="C5" s="19" t="inlineStr">
        <is>
          <t>S0</t>
        </is>
      </c>
      <c r="D5" s="19" t="inlineStr">
        <is>
          <t>Colleague (frontend)</t>
        </is>
      </c>
      <c r="E5" s="19">
        <f>COUNTIF(Backlog!$H$2:$H$77,B5)</f>
        <v/>
      </c>
      <c r="F5" s="19">
        <f>SUMIF(Backlog!$H$2:$H$77,B5,Backlog!$M$2:$M$77)</f>
        <v/>
      </c>
      <c r="G5" s="19" t="inlineStr">
        <is>
          <t>Design system and screens are ready before the frontend builds them</t>
        </is>
      </c>
    </row>
    <row r="6" ht="15" customHeight="1" s="14">
      <c r="A6" s="19" t="n">
        <v>3</v>
      </c>
      <c r="B6" s="19" t="inlineStr">
        <is>
          <t>Data / integration engineer</t>
        </is>
      </c>
      <c r="C6" s="19" t="inlineStr">
        <is>
          <t>S2</t>
        </is>
      </c>
      <c r="D6" s="19" t="inlineStr">
        <is>
          <t>You (backend)</t>
        </is>
      </c>
      <c r="E6" s="19">
        <f>COUNTIF(Backlog!$H$2:$H$77,B6)</f>
        <v/>
      </c>
      <c r="F6" s="19">
        <f>SUMIF(Backlog!$H$2:$H$77,B6,Backlog!$M$2:$M$77)</f>
        <v/>
      </c>
      <c r="G6" s="19" t="inlineStr">
        <is>
          <t>DATOMS sync starts in S3; frees you for APIs</t>
        </is>
      </c>
    </row>
    <row r="7" ht="15" customHeight="1" s="14">
      <c r="A7" s="19" t="n">
        <v>4</v>
      </c>
      <c r="B7" s="19" t="inlineStr">
        <is>
          <t>Backend developer</t>
        </is>
      </c>
      <c r="C7" s="19" t="inlineStr">
        <is>
          <t>S3</t>
        </is>
      </c>
      <c r="D7" s="19" t="inlineStr">
        <is>
          <t>You (backend)</t>
        </is>
      </c>
      <c r="E7" s="19">
        <f>COUNTIF(Backlog!$H$2:$H$77,B7)</f>
        <v/>
      </c>
      <c r="F7" s="19">
        <f>SUMIF(Backlog!$H$2:$H$77,B7,Backlog!$M$2:$M$77)</f>
        <v/>
      </c>
      <c r="G7" s="19" t="inlineStr">
        <is>
          <t>Second backend developer lets S6–S9 run in parallel</t>
        </is>
      </c>
    </row>
    <row r="8" ht="15" customHeight="1" s="14">
      <c r="A8" s="19" t="n">
        <v>5</v>
      </c>
      <c r="B8" s="19" t="inlineStr">
        <is>
          <t>Frontend developer</t>
        </is>
      </c>
      <c r="C8" s="19" t="inlineStr">
        <is>
          <t>S3</t>
        </is>
      </c>
      <c r="D8" s="19" t="inlineStr">
        <is>
          <t>Colleague (frontend)</t>
        </is>
      </c>
      <c r="E8" s="19">
        <f>COUNTIF(Backlog!$H$2:$H$77,B8)</f>
        <v/>
      </c>
      <c r="F8" s="19">
        <f>SUMIF(Backlog!$H$2:$H$77,B8,Backlog!$M$2:$M$77)</f>
        <v/>
      </c>
      <c r="G8" s="19" t="inlineStr">
        <is>
          <t>Second frontend developer lets screens run in parallel</t>
        </is>
      </c>
    </row>
    <row r="9" ht="23.85" customHeight="1" s="14">
      <c r="A9" s="19" t="n">
        <v>6</v>
      </c>
      <c r="B9" s="19" t="inlineStr">
        <is>
          <t>QA engineer</t>
        </is>
      </c>
      <c r="C9" s="19" t="inlineStr">
        <is>
          <t>S4</t>
        </is>
      </c>
      <c r="D9" s="19" t="inlineStr">
        <is>
          <t>You (backend)</t>
        </is>
      </c>
      <c r="E9" s="19">
        <f>COUNTIF(Backlog!$H$2:$H$77,B9)</f>
        <v/>
      </c>
      <c r="F9" s="19">
        <f>SUMIF(Backlog!$H$2:$H$77,B9,Backlog!$M$2:$M$77)</f>
        <v/>
      </c>
      <c r="G9" s="19" t="inlineStr">
        <is>
          <t>Testing grows with the number of screens; owns load and permission tests</t>
        </is>
      </c>
    </row>
    <row r="10" ht="15" customHeight="1" s="14">
      <c r="A10" s="19" t="n">
        <v>7</v>
      </c>
      <c r="B10" s="19" t="inlineStr">
        <is>
          <t>Product owner</t>
        </is>
      </c>
      <c r="C10" s="19" t="inlineStr">
        <is>
          <t>S4</t>
        </is>
      </c>
      <c r="D10" s="19" t="inlineStr">
        <is>
          <t>Both</t>
        </is>
      </c>
      <c r="E10" s="19">
        <f>COUNTIF(Backlog!$H$2:$H$77,B10)</f>
        <v/>
      </c>
      <c r="F10" s="19">
        <f>SUMIF(Backlog!$H$2:$H$77,B10,Backlog!$M$2:$M$77)</f>
        <v/>
      </c>
      <c r="G10" s="19" t="inlineStr">
        <is>
          <t>Runs pilot, user guide, onboarding and phase 2 priorities</t>
        </is>
      </c>
    </row>
    <row r="11" ht="15" customHeight="1" s="14">
      <c r="A11" s="19" t="n">
        <v>8</v>
      </c>
      <c r="B11" s="19" t="inlineStr">
        <is>
          <t>Security engineer</t>
        </is>
      </c>
      <c r="C11" s="19" t="inlineStr">
        <is>
          <t>S8</t>
        </is>
      </c>
      <c r="D11" s="19" t="inlineStr">
        <is>
          <t>You (backend)</t>
        </is>
      </c>
      <c r="E11" s="19">
        <f>COUNTIF(Backlog!$H$2:$H$77,B11)</f>
        <v/>
      </c>
      <c r="F11" s="19">
        <f>SUMIF(Backlog!$H$2:$H$77,B11,Backlog!$M$2:$M$77)</f>
        <v/>
      </c>
      <c r="G11" s="19" t="inlineStr">
        <is>
          <t>Part-time: penetration test before the pilot</t>
        </is>
      </c>
    </row>
    <row r="12" ht="15" customHeight="1" s="14">
      <c r="B12" s="22" t="inlineStr">
        <is>
          <t>You (backend) keep: Backend developer tasks</t>
        </is>
      </c>
    </row>
    <row r="13" ht="15" customHeight="1" s="14">
      <c r="B13" s="22" t="inlineStr">
        <is>
          <t>Colleague keeps: Frontend developer tasks</t>
        </is>
      </c>
    </row>
    <row r="14" ht="15" customHeight="1" s="14">
      <c r="B14" s="22" t="inlineStr">
        <is>
          <t>Roles follow the team in the Build plan tab. Join dates are suggestions; hire earlier to finish sooner.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O79"/>
  <sheetViews>
    <sheetView showFormulas="0" showGridLines="1" showRowColHeaders="1" showZeros="1" rightToLeft="0" tabSelected="0" showOutlineSymbols="1" defaultGridColor="1"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baseColWidth="8" defaultColWidth="8.6796875" defaultRowHeight="15" zeroHeight="0" outlineLevelRow="0"/>
  <cols>
    <col width="8" customWidth="1" style="13" min="1" max="1"/>
    <col width="7" customWidth="1" style="13" min="2" max="3"/>
    <col width="16" customWidth="1" style="13" min="4" max="4"/>
    <col width="38" customWidth="1" style="13" min="5" max="5"/>
    <col width="62" customWidth="1" style="13" min="6" max="6"/>
    <col width="30" customWidth="1" style="13" min="7" max="7"/>
    <col width="20" customWidth="1" style="13" min="8" max="8"/>
    <col width="16" customWidth="1" style="13" min="9" max="9"/>
    <col width="26" customWidth="1" style="13" min="10" max="10"/>
    <col width="10" customWidth="1" style="13" min="11" max="11"/>
    <col width="24" customWidth="1" style="13" min="12" max="12"/>
    <col width="9" customWidth="1" style="13" min="13" max="13"/>
    <col width="12" customWidth="1" style="13" min="14" max="14"/>
    <col width="36" customWidth="1" style="13" min="15" max="15"/>
  </cols>
  <sheetData>
    <row r="1" ht="35.05" customHeight="1" s="14">
      <c r="A1" s="18" t="inlineStr">
        <is>
          <t>ID</t>
        </is>
      </c>
      <c r="B1" s="18" t="inlineStr">
        <is>
          <t>Sprint</t>
        </is>
      </c>
      <c r="C1" s="18" t="inlineStr">
        <is>
          <t>Week</t>
        </is>
      </c>
      <c r="D1" s="18" t="inlineStr">
        <is>
          <t>Work package</t>
        </is>
      </c>
      <c r="E1" s="18" t="inlineStr">
        <is>
          <t>Task</t>
        </is>
      </c>
      <c r="F1" s="18" t="inlineStr">
        <is>
          <t>Steps (how to do it)</t>
        </is>
      </c>
      <c r="G1" s="18" t="inlineStr">
        <is>
          <t>Output when done</t>
        </is>
      </c>
      <c r="H1" s="18" t="inlineStr">
        <is>
          <t>Role (owner when hired)</t>
        </is>
      </c>
      <c r="I1" s="18" t="inlineStr">
        <is>
          <t>Now done by</t>
        </is>
      </c>
      <c r="J1" s="18" t="inlineStr">
        <is>
          <t>Requirement</t>
        </is>
      </c>
      <c r="K1" s="18" t="inlineStr">
        <is>
          <t>Depends on</t>
        </is>
      </c>
      <c r="L1" s="18" t="inlineStr">
        <is>
          <t>External blocker</t>
        </is>
      </c>
      <c r="M1" s="18" t="inlineStr">
        <is>
          <t>Estimate (days)</t>
        </is>
      </c>
      <c r="N1" s="18" t="inlineStr">
        <is>
          <t>Status</t>
        </is>
      </c>
      <c r="O1" s="18" t="inlineStr">
        <is>
          <t>Acceptance check</t>
        </is>
      </c>
    </row>
    <row r="2" ht="57.45" customHeight="1" s="14">
      <c r="A2" s="19" t="inlineStr">
        <is>
          <t>S0-01</t>
        </is>
      </c>
      <c r="B2" s="19" t="inlineStr">
        <is>
          <t>S0</t>
        </is>
      </c>
      <c r="C2" s="19" t="inlineStr">
        <is>
          <t>W1</t>
        </is>
      </c>
      <c r="D2" s="19" t="inlineStr">
        <is>
          <t>Setup</t>
        </is>
      </c>
      <c r="E2" s="24" t="inlineStr">
        <is>
          <t>Monorepo: apps/web, apps/api, apps/worker, packages/shared (types). Branching and review rules</t>
        </is>
      </c>
      <c r="F2" s="19" t="inlineStr">
        <is>
          <t>1. Create the Git repository (GitHub or Azure DevOps).
2. Set up folders: apps/web, apps/api, apps/worker, packages/shared.
3. Add a root README with how to run everything.
4. Agree rules: main branch protected, every change via pull request reviewed by the other person.</t>
        </is>
      </c>
      <c r="G2" s="19" t="inlineStr">
        <is>
          <t>Repo both of you can clone and run</t>
        </is>
      </c>
      <c r="H2" s="19" t="inlineStr">
        <is>
          <t>Backend developer</t>
        </is>
      </c>
      <c r="I2" s="19" t="inlineStr">
        <is>
          <t>You (backend)</t>
        </is>
      </c>
      <c r="J2" s="19" t="inlineStr">
        <is>
          <t>Foundation</t>
        </is>
      </c>
      <c r="K2" s="19" t="n"/>
      <c r="L2" s="19" t="n"/>
      <c r="M2" s="19" t="n">
        <v>1</v>
      </c>
      <c r="N2" s="25" t="inlineStr">
        <is>
          <t>Not started</t>
        </is>
      </c>
      <c r="O2" s="19" t="inlineStr">
        <is>
          <t>Both devs clone, build and run all apps locally with one command</t>
        </is>
      </c>
    </row>
    <row r="3" ht="68.65000000000001" customHeight="1" s="14">
      <c r="A3" s="19" t="inlineStr">
        <is>
          <t>S0-02</t>
        </is>
      </c>
      <c r="B3" s="19" t="inlineStr">
        <is>
          <t>S0</t>
        </is>
      </c>
      <c r="C3" s="19" t="inlineStr">
        <is>
          <t>W1</t>
        </is>
      </c>
      <c r="D3" s="19" t="inlineStr">
        <is>
          <t>Setup</t>
        </is>
      </c>
      <c r="E3" s="24" t="inlineStr">
        <is>
          <t>Azure dev environment as code (Bicep): Container Apps, PostgreSQL Flexible Server 16, Blob Storage, Key Vault, Web PubSub, Application Insights</t>
        </is>
      </c>
      <c r="F3" s="19" t="inlineStr">
        <is>
          <t>1. Create a resource group in Azure UAE North for 'nexus-dev'.
2. Write Bicep files for: PostgreSQL Flexible Server 16 (no TimescaleDB; see docs/adr/0003), Blob Storage, Key Vault, Web PubSub, Container Apps environment, Application Insights.
3. Deploy with one command and check each resource exists.
4. Store the database password in Key Vault, not in code.</t>
        </is>
      </c>
      <c r="G3" s="19" t="inlineStr">
        <is>
          <t>Working dev environment in Azure, built from code</t>
        </is>
      </c>
      <c r="H3" s="19" t="inlineStr">
        <is>
          <t>DevOps engineer</t>
        </is>
      </c>
      <c r="I3" s="19" t="inlineStr">
        <is>
          <t>You (backend)</t>
        </is>
      </c>
      <c r="J3" s="19" t="inlineStr">
        <is>
          <t>Foundation</t>
        </is>
      </c>
      <c r="K3" s="19" t="n"/>
      <c r="L3" s="19" t="inlineStr">
        <is>
          <t>Azure subscription access</t>
        </is>
      </c>
      <c r="M3" s="19" t="n">
        <v>3</v>
      </c>
      <c r="N3" s="25" t="inlineStr">
        <is>
          <t>Not started</t>
        </is>
      </c>
      <c r="O3" s="19" t="inlineStr">
        <is>
          <t>Environment created from code in one run; no secrets in the repo</t>
        </is>
      </c>
    </row>
    <row r="4" ht="46.25" customHeight="1" s="14">
      <c r="A4" s="19" t="inlineStr">
        <is>
          <t>S0-03</t>
        </is>
      </c>
      <c r="B4" s="19" t="inlineStr">
        <is>
          <t>S0</t>
        </is>
      </c>
      <c r="C4" s="19" t="inlineStr">
        <is>
          <t>W2</t>
        </is>
      </c>
      <c r="D4" s="19" t="inlineStr">
        <is>
          <t>Setup</t>
        </is>
      </c>
      <c r="E4" s="24" t="inlineStr">
        <is>
          <t>CI/CD pipelines for API and worker (build, test, deploy to dev)</t>
        </is>
      </c>
      <c r="F4" s="19" t="inlineStr">
        <is>
          <t>1. Create a pipeline that runs on every pull request: install, lint, test.
2. On merge to main: build Docker images for api and worker, push to Azure Container Registry, deploy to Container Apps (dev).
3. Test by merging a small change and seeing it live.</t>
        </is>
      </c>
      <c r="G4" s="19" t="inlineStr">
        <is>
          <t>Merge to main = deployed to dev</t>
        </is>
      </c>
      <c r="H4" s="19" t="inlineStr">
        <is>
          <t>DevOps engineer</t>
        </is>
      </c>
      <c r="I4" s="19" t="inlineStr">
        <is>
          <t>You (backend)</t>
        </is>
      </c>
      <c r="J4" s="19" t="inlineStr">
        <is>
          <t>Foundation</t>
        </is>
      </c>
      <c r="K4" s="19" t="inlineStr">
        <is>
          <t>S0-02</t>
        </is>
      </c>
      <c r="L4" s="19" t="n"/>
      <c r="M4" s="19" t="n">
        <v>2</v>
      </c>
      <c r="N4" s="25" t="inlineStr">
        <is>
          <t>Not started</t>
        </is>
      </c>
      <c r="O4" s="19" t="inlineStr">
        <is>
          <t>Merge to main deploys to dev automatically</t>
        </is>
      </c>
    </row>
    <row r="5" ht="68.65000000000001" customHeight="1" s="14">
      <c r="A5" s="19" t="inlineStr">
        <is>
          <t>S0-04</t>
        </is>
      </c>
      <c r="B5" s="19" t="inlineStr">
        <is>
          <t>S0</t>
        </is>
      </c>
      <c r="C5" s="19" t="inlineStr">
        <is>
          <t>W1</t>
        </is>
      </c>
      <c r="D5" s="19" t="inlineStr">
        <is>
          <t>Setup</t>
        </is>
      </c>
      <c r="E5" s="24" t="inlineStr">
        <is>
          <t>Entra ID app registrations (API + web app), Nexus security groups, app-assigned groups claim</t>
        </is>
      </c>
      <c r="F5" s="19" t="inlineStr">
        <is>
          <t>1. In Entra ID, register two apps: 'Nexus API' and 'Nexus Web'.
2. Create the Nexus security groups (docs/08 section 1; e.g. Nexus-Admins). Roles are mapped from groups in the Nexus database (docs/08 section 3), not defined as Entra app roles. The final role list is Q17.
3. On Nexus API, set the groups claim to 'Groups assigned to the application' (ADR 0008). Assign the Nexus groups to the enterprise app; users must be direct members. No Graph permission or secret.
4. Turn on 'assignment required' so only group members can sign in.
5. Share client IDs with the frontend.</t>
        </is>
      </c>
      <c r="G5" s="19" t="inlineStr">
        <is>
          <t>Sign-in apps and groups ready; test users in each group</t>
        </is>
      </c>
      <c r="H5" s="19" t="inlineStr">
        <is>
          <t>Backend developer</t>
        </is>
      </c>
      <c r="I5" s="19" t="inlineStr">
        <is>
          <t>You (backend)</t>
        </is>
      </c>
      <c r="J5" s="19" t="inlineStr">
        <is>
          <t>Innovo: permissions</t>
        </is>
      </c>
      <c r="K5" s="19" t="n"/>
      <c r="L5" s="19" t="inlineStr">
        <is>
          <t>Entra admin consent; Entra ID P1 licence and setup confirmed by Innovo IT (Q16)</t>
        </is>
      </c>
      <c r="M5" s="19" t="n">
        <v>1</v>
      </c>
      <c r="N5" s="25" t="inlineStr">
        <is>
          <t>Not started</t>
        </is>
      </c>
      <c r="O5" s="19" t="inlineStr">
        <is>
          <t>Test users in each group get a token whose groups claim contains only their app-assigned Nexus group(s)</t>
        </is>
      </c>
    </row>
    <row r="6" ht="46.25" customHeight="1" s="14">
      <c r="A6" s="19" t="inlineStr">
        <is>
          <t>S0-05</t>
        </is>
      </c>
      <c r="B6" s="19" t="inlineStr">
        <is>
          <t>S0</t>
        </is>
      </c>
      <c r="C6" s="19" t="inlineStr">
        <is>
          <t>W1</t>
        </is>
      </c>
      <c r="D6" s="19" t="inlineStr">
        <is>
          <t>Setup</t>
        </is>
      </c>
      <c r="E6" s="24" t="inlineStr">
        <is>
          <t>React + TypeScript app shell (Vite), routing, linting</t>
        </is>
      </c>
      <c r="F6" s="19" t="inlineStr">
        <is>
          <t>1. Create the React + TypeScript app with Vite in apps/web.
2. Add routing with empty pages: Portfolio, Project, Admin.
3. Add ESLint and Prettier.
4. Run locally.</t>
        </is>
      </c>
      <c r="G6" s="19" t="inlineStr">
        <is>
          <t>Empty app with page routes</t>
        </is>
      </c>
      <c r="H6" s="19" t="inlineStr">
        <is>
          <t>Frontend developer</t>
        </is>
      </c>
      <c r="I6" s="19" t="inlineStr">
        <is>
          <t>Colleague (frontend)</t>
        </is>
      </c>
      <c r="J6" s="19" t="inlineStr">
        <is>
          <t>Foundation</t>
        </is>
      </c>
      <c r="K6" s="19" t="inlineStr">
        <is>
          <t>S0-01</t>
        </is>
      </c>
      <c r="L6" s="19" t="n"/>
      <c r="M6" s="19" t="n">
        <v>2</v>
      </c>
      <c r="N6" s="25" t="inlineStr">
        <is>
          <t>Not started</t>
        </is>
      </c>
      <c r="O6" s="19" t="inlineStr">
        <is>
          <t>App runs locally and in dev</t>
        </is>
      </c>
    </row>
    <row r="7" ht="57.45" customHeight="1" s="14">
      <c r="A7" s="19" t="inlineStr">
        <is>
          <t>S0-06</t>
        </is>
      </c>
      <c r="B7" s="19" t="inlineStr">
        <is>
          <t>S0</t>
        </is>
      </c>
      <c r="C7" s="19" t="inlineStr">
        <is>
          <t>W1–W2</t>
        </is>
      </c>
      <c r="D7" s="19" t="inlineStr">
        <is>
          <t>Setup</t>
        </is>
      </c>
      <c r="E7" s="24" t="inlineStr">
        <is>
          <t>Design tokens and base components from the brief mockups (colours, type, cards, tags, tables)</t>
        </is>
      </c>
      <c r="F7" s="19" t="inlineStr">
        <is>
          <t>1. From the brief mockups, list colours, fonts, spacing, corner radius.
2. Create them as design tokens (CSS variables).
3. Build base components: button, card, info box, tag (RES, HOSP...), table, side panel, tabs.
4. Make a 'components' page showing them all.</t>
        </is>
      </c>
      <c r="G7" s="19" t="inlineStr">
        <is>
          <t>Reusable UI building blocks matching the mockups</t>
        </is>
      </c>
      <c r="H7" s="19" t="inlineStr">
        <is>
          <t>UI/UX designer</t>
        </is>
      </c>
      <c r="I7" s="19" t="inlineStr">
        <is>
          <t>Colleague (frontend)</t>
        </is>
      </c>
      <c r="J7" s="19" t="inlineStr">
        <is>
          <t>Brief: platform experience</t>
        </is>
      </c>
      <c r="K7" s="19" t="n"/>
      <c r="L7" s="19" t="n"/>
      <c r="M7" s="19" t="n">
        <v>3</v>
      </c>
      <c r="N7" s="25" t="inlineStr">
        <is>
          <t>Not started</t>
        </is>
      </c>
      <c r="O7" s="19" t="inlineStr">
        <is>
          <t>Component page shows every base component on desktop and mobile</t>
        </is>
      </c>
    </row>
    <row r="8" ht="35.05" customHeight="1" s="14">
      <c r="A8" s="19" t="inlineStr">
        <is>
          <t>S0-07</t>
        </is>
      </c>
      <c r="B8" s="19" t="inlineStr">
        <is>
          <t>S0</t>
        </is>
      </c>
      <c r="C8" s="19" t="inlineStr">
        <is>
          <t>W2</t>
        </is>
      </c>
      <c r="D8" s="19" t="inlineStr">
        <is>
          <t>Setup</t>
        </is>
      </c>
      <c r="E8" s="24" t="inlineStr">
        <is>
          <t>CI/CD to Azure Static Web Apps</t>
        </is>
      </c>
      <c r="F8" s="19" t="inlineStr">
        <is>
          <t>1. Create Azure Static Web App for dev.
2. Add a pipeline: on merge to main, build and deploy apps/web.
3. Check the dev URL works.</t>
        </is>
      </c>
      <c r="G8" s="19" t="inlineStr">
        <is>
          <t>Web app auto-deploys to dev</t>
        </is>
      </c>
      <c r="H8" s="19" t="inlineStr">
        <is>
          <t>DevOps engineer</t>
        </is>
      </c>
      <c r="I8" s="19" t="inlineStr">
        <is>
          <t>You (backend)</t>
        </is>
      </c>
      <c r="J8" s="19" t="inlineStr">
        <is>
          <t>Foundation</t>
        </is>
      </c>
      <c r="K8" s="19" t="inlineStr">
        <is>
          <t>S0-05</t>
        </is>
      </c>
      <c r="L8" s="19" t="n"/>
      <c r="M8" s="19" t="n">
        <v>1</v>
      </c>
      <c r="N8" s="25" t="inlineStr">
        <is>
          <t>Not started</t>
        </is>
      </c>
      <c r="O8" s="19" t="inlineStr">
        <is>
          <t>Merge to main deploys web app to dev</t>
        </is>
      </c>
    </row>
    <row r="9" ht="46.25" customHeight="1" s="14">
      <c r="A9" s="19" t="inlineStr">
        <is>
          <t>S0-08</t>
        </is>
      </c>
      <c r="B9" s="19" t="inlineStr">
        <is>
          <t>S0</t>
        </is>
      </c>
      <c r="C9" s="19" t="inlineStr">
        <is>
          <t>W2</t>
        </is>
      </c>
      <c r="D9" s="19" t="inlineStr">
        <is>
          <t>Setup</t>
        </is>
      </c>
      <c r="E9" s="24" t="inlineStr">
        <is>
          <t>Microsoft sign-in skeleton (MSAL)</t>
        </is>
      </c>
      <c r="F9" s="19" t="inlineStr">
        <is>
          <t>1. Install MSAL React.
2. Use the 'Nexus Web' client ID from S0-04.
3. Sign-in button redirects to Microsoft; after sign-in show the user's name.
4. Test with a user outside the Nexus groups: they must be refused.</t>
        </is>
      </c>
      <c r="G9" s="19" t="inlineStr">
        <is>
          <t>Users sign in with their Innovo Microsoft account</t>
        </is>
      </c>
      <c r="H9" s="19" t="inlineStr">
        <is>
          <t>Frontend developer</t>
        </is>
      </c>
      <c r="I9" s="19" t="inlineStr">
        <is>
          <t>Colleague (frontend)</t>
        </is>
      </c>
      <c r="J9" s="19" t="inlineStr">
        <is>
          <t>Innovo: permissions</t>
        </is>
      </c>
      <c r="K9" s="19" t="inlineStr">
        <is>
          <t>S0-04</t>
        </is>
      </c>
      <c r="L9" s="19" t="n"/>
      <c r="M9" s="19" t="n">
        <v>1</v>
      </c>
      <c r="N9" s="25" t="inlineStr">
        <is>
          <t>Not started</t>
        </is>
      </c>
      <c r="O9" s="19" t="inlineStr">
        <is>
          <t>User signs in with Innovo account; others are refused</t>
        </is>
      </c>
    </row>
    <row r="10" ht="158.2" customHeight="1" s="14">
      <c r="A10" s="19" t="inlineStr">
        <is>
          <t>S0-09</t>
        </is>
      </c>
      <c r="B10" s="19" t="inlineStr">
        <is>
          <t>S0</t>
        </is>
      </c>
      <c r="C10" s="19" t="inlineStr">
        <is>
          <t>W1</t>
        </is>
      </c>
      <c r="D10" s="19" t="inlineStr">
        <is>
          <t>Map</t>
        </is>
      </c>
      <c r="E10" s="24" t="inlineStr">
        <is>
          <t>ArcGIS map setup (provider decided: Esri ArcGIS, ADR 0002): account and API key, MapView wrapper skeleton with the ArcGIS adapter</t>
        </is>
      </c>
      <c r="F10" s="19" t="inlineStr">
        <is>
          <t>1. Ask Innovo IT whether Innovo has an ArcGIS Online / Enterprise organisation (open question Q4).
2. Create the ArcGIS API key (basemaps + elevation), restrict it by referrer to the Nexus domains, store it in Key Vault.
3. Serve the key to the web app through /v1/config (stub until the API exists).
4. Build components/map/types.ts, MapView.tsx and the arcgis/ adapter: lazy-loaded @arcgis/core, a UAE map with 10 sample markers, 2D / satellite / 3D switch.
5. Add the lint rule that blocks @arcgis imports outside components/map.</t>
        </is>
      </c>
      <c r="G10" s="19" t="inlineStr">
        <is>
          <t>ArcGIS key in Key Vault; MapView wrapper with ArcGIS adapter showing a UAE map in 2D, satellite and 3D; ready for S2</t>
        </is>
      </c>
      <c r="H10" s="19" t="inlineStr">
        <is>
          <t>Frontend developer</t>
        </is>
      </c>
      <c r="I10" s="19" t="inlineStr">
        <is>
          <t>Colleague (frontend)</t>
        </is>
      </c>
      <c r="J10" s="19" t="inlineStr">
        <is>
          <t>Brief: interactive map; Sheet: Top level</t>
        </is>
      </c>
      <c r="K10" s="19" t="n"/>
      <c r="L10" s="19" t="inlineStr">
        <is>
          <t>ArcGIS account / licence (Q4)</t>
        </is>
      </c>
      <c r="M10" s="19" t="n">
        <v>3</v>
      </c>
      <c r="N10" s="25" t="inlineStr">
        <is>
          <t>Not started</t>
        </is>
      </c>
      <c r="O10" s="19" t="inlineStr">
        <is>
          <t>UAE map renders in 2D, satellite and 3D through &lt;MapView&gt;; no @arcgis import outside components/map; key not in the repo</t>
        </is>
      </c>
    </row>
    <row r="11" ht="124.65" customHeight="1" s="14">
      <c r="A11" s="19" t="inlineStr">
        <is>
          <t>S1-01</t>
        </is>
      </c>
      <c r="B11" s="19" t="inlineStr">
        <is>
          <t>S1</t>
        </is>
      </c>
      <c r="C11" s="19" t="inlineStr">
        <is>
          <t>W1</t>
        </is>
      </c>
      <c r="D11" s="19" t="inlineStr">
        <is>
          <t>Foundation</t>
        </is>
      </c>
      <c r="E11" s="24" t="inlineStr">
        <is>
          <t>Core data model and migrations from db/schema.sql: project, building, level, zone, asset type, asset, parameter dictionary, latest + raw packets (daily partitions), rollups, status, location, events, access, audit</t>
        </is>
      </c>
      <c r="F11" s="19" t="inlineStr">
        <is>
          <t>1. Use Kysely + plain SQL migrations (node-pg-migrate), per docs/04-tech-stack.md.
2. Turn db/schema.sql into migration 0001_init.sql (up + down); add db/roles.sql grants.
3. Raw telemetry is telemetry.packet: one jsonb row per asset packet, daily partitions (no TimescaleDB).
4. Every asset has project_id and optional building/level/zone ids (what BIM links to later).
5. Add pnpm db:migrate / db:check / db:seed; run the 100-site seed and record query timings.
6. From the S1-02 security review (L3, accepted for now): when roles, project scope or active status change, clear the access cache on every API instance (Postgres LISTEN/NOTIFY or a per-user access version), check is_active on a cache hit, and never cache a load that started before the change.</t>
        </is>
      </c>
      <c r="G11" s="19" t="inlineStr">
        <is>
          <t>Database structure in place</t>
        </is>
      </c>
      <c r="H11" s="19" t="inlineStr">
        <is>
          <t>Backend developer</t>
        </is>
      </c>
      <c r="I11" s="19" t="inlineStr">
        <is>
          <t>You (backend)</t>
        </is>
      </c>
      <c r="J11" s="19" t="inlineStr">
        <is>
          <t>Foundation (BIM-ready)</t>
        </is>
      </c>
      <c r="K11" s="19" t="inlineStr">
        <is>
          <t>S0-02</t>
        </is>
      </c>
      <c r="L11" s="19" t="n"/>
      <c r="M11" s="19" t="n">
        <v>3</v>
      </c>
      <c r="N11" s="25" t="inlineStr">
        <is>
          <t>Not started</t>
        </is>
      </c>
      <c r="O11" s="19" t="inlineStr">
        <is>
          <t>Migrations run clean; every asset links to project and optional zone</t>
        </is>
      </c>
    </row>
    <row r="12" ht="68.65000000000001" customHeight="1" s="14">
      <c r="A12" s="19" t="inlineStr">
        <is>
          <t>S1-02</t>
        </is>
      </c>
      <c r="B12" s="19" t="inlineStr">
        <is>
          <t>S1</t>
        </is>
      </c>
      <c r="C12" s="19" t="inlineStr">
        <is>
          <t>W1–W2</t>
        </is>
      </c>
      <c r="D12" s="19" t="inlineStr">
        <is>
          <t>Foundation</t>
        </is>
      </c>
      <c r="E12" s="24" t="inlineStr">
        <is>
          <t>Auth in API: token validation, role guards, project-scope filter on every query</t>
        </is>
      </c>
      <c r="F12" s="19" t="inlineStr">
        <is>
          <t>1. Add token validation in NestJS for Entra ID tokens.
2. Read the user's roles from the token.
3. Add a guard that blocks endpoints by role.
4. Add a project-scope filter: every query only returns projects the user is assigned to (unless role = all projects).
5. Write tests: user A must never see project B.</t>
        </is>
      </c>
      <c r="G12" s="19" t="inlineStr">
        <is>
          <t>Every API call is permission-checked</t>
        </is>
      </c>
      <c r="H12" s="19" t="inlineStr">
        <is>
          <t>Backend developer</t>
        </is>
      </c>
      <c r="I12" s="19" t="inlineStr">
        <is>
          <t>You (backend)</t>
        </is>
      </c>
      <c r="J12" s="19" t="inlineStr">
        <is>
          <t>Innovo: permissions</t>
        </is>
      </c>
      <c r="K12" s="19" t="inlineStr">
        <is>
          <t>S0-04</t>
        </is>
      </c>
      <c r="L12" s="19" t="n"/>
      <c r="M12" s="19" t="n">
        <v>3</v>
      </c>
      <c r="N12" s="25" t="inlineStr">
        <is>
          <t>Not started</t>
        </is>
      </c>
      <c r="O12" s="19" t="inlineStr">
        <is>
          <t>Automated test: a user never receives a project outside their scope</t>
        </is>
      </c>
    </row>
    <row r="13" ht="46.25" customHeight="1" s="14">
      <c r="A13" s="19" t="inlineStr">
        <is>
          <t>S1-03</t>
        </is>
      </c>
      <c r="B13" s="19" t="inlineStr">
        <is>
          <t>S1</t>
        </is>
      </c>
      <c r="C13" s="19" t="inlineStr">
        <is>
          <t>W2</t>
        </is>
      </c>
      <c r="D13" s="19" t="inlineStr">
        <is>
          <t>Foundation</t>
        </is>
      </c>
      <c r="E13" s="24" t="inlineStr">
        <is>
          <t>OpenAPI contract published; typed client generated for the web app</t>
        </is>
      </c>
      <c r="F13" s="19" t="inlineStr">
        <is>
          <t>1. Turn on NestJS Swagger/OpenAPI generation.
2. Publish the spec at /api/docs on dev.
3. Generate a TypeScript client into packages/shared.
4. Show the frontend how to use it.</t>
        </is>
      </c>
      <c r="G13" s="19" t="inlineStr">
        <is>
          <t>Shared API contract the frontend codes against</t>
        </is>
      </c>
      <c r="H13" s="19" t="inlineStr">
        <is>
          <t>Backend developer</t>
        </is>
      </c>
      <c r="I13" s="19" t="inlineStr">
        <is>
          <t>You (backend)</t>
        </is>
      </c>
      <c r="J13" s="19" t="inlineStr">
        <is>
          <t>Foundation</t>
        </is>
      </c>
      <c r="K13" s="19" t="n"/>
      <c r="L13" s="19" t="n"/>
      <c r="M13" s="19" t="n">
        <v>1</v>
      </c>
      <c r="N13" s="25" t="inlineStr">
        <is>
          <t>Not started</t>
        </is>
      </c>
      <c r="O13" s="19" t="inlineStr">
        <is>
          <t>Frontend imports generated client; build fails on contract mismatch</t>
        </is>
      </c>
    </row>
    <row r="14" ht="46.25" customHeight="1" s="14">
      <c r="A14" s="19" t="inlineStr">
        <is>
          <t>S1-04</t>
        </is>
      </c>
      <c r="B14" s="19" t="inlineStr">
        <is>
          <t>S1</t>
        </is>
      </c>
      <c r="C14" s="19" t="inlineStr">
        <is>
          <t>W2</t>
        </is>
      </c>
      <c r="D14" s="19" t="inlineStr">
        <is>
          <t>Foundation</t>
        </is>
      </c>
      <c r="E14" s="24" t="inlineStr">
        <is>
          <t>Audit log: sign-ins, data exports, settings changes</t>
        </is>
      </c>
      <c r="F14" s="19" t="inlineStr">
        <is>
          <t>1. Create an audit service in the API.
2. Log sign-ins, settings changes, permission changes, exports: who, what, when.
3. Add an admin-only endpoint to read the log.</t>
        </is>
      </c>
      <c r="G14" s="19" t="inlineStr">
        <is>
          <t>Audit log recording key actions</t>
        </is>
      </c>
      <c r="H14" s="19" t="inlineStr">
        <is>
          <t>Backend developer</t>
        </is>
      </c>
      <c r="I14" s="19" t="inlineStr">
        <is>
          <t>You (backend)</t>
        </is>
      </c>
      <c r="J14" s="19" t="inlineStr">
        <is>
          <t>Innovo: security</t>
        </is>
      </c>
      <c r="K14" s="19" t="n"/>
      <c r="L14" s="19" t="n"/>
      <c r="M14" s="19" t="n">
        <v>1</v>
      </c>
      <c r="N14" s="25" t="inlineStr">
        <is>
          <t>Not started</t>
        </is>
      </c>
      <c r="O14" s="19" t="inlineStr">
        <is>
          <t>Each action writes user, time and action</t>
        </is>
      </c>
    </row>
    <row r="15" ht="46.25" customHeight="1" s="14">
      <c r="A15" s="19" t="inlineStr">
        <is>
          <t>S1-05</t>
        </is>
      </c>
      <c r="B15" s="19" t="inlineStr">
        <is>
          <t>S1</t>
        </is>
      </c>
      <c r="C15" s="19" t="inlineStr">
        <is>
          <t>W1</t>
        </is>
      </c>
      <c r="D15" s="19" t="inlineStr">
        <is>
          <t>Foundation</t>
        </is>
      </c>
      <c r="E15" s="24" t="inlineStr">
        <is>
          <t>App shell: header, global search box, notifications bell, user menu</t>
        </is>
      </c>
      <c r="F15" s="19" t="inlineStr">
        <is>
          <t>1. Build the top header from the mockup: Innovo/Nexus logo, search box, UAE label, bell, user avatar.
2. User menu shows name and sign-out.
3. Search and bell are placeholders for now.</t>
        </is>
      </c>
      <c r="G15" s="19" t="inlineStr">
        <is>
          <t>App frame visible on every page</t>
        </is>
      </c>
      <c r="H15" s="19" t="inlineStr">
        <is>
          <t>Frontend developer</t>
        </is>
      </c>
      <c r="I15" s="19" t="inlineStr">
        <is>
          <t>Colleague (frontend)</t>
        </is>
      </c>
      <c r="J15" s="19" t="inlineStr">
        <is>
          <t>Brief mockups</t>
        </is>
      </c>
      <c r="K15" s="19" t="inlineStr">
        <is>
          <t>S0-06</t>
        </is>
      </c>
      <c r="L15" s="19" t="n"/>
      <c r="M15" s="19" t="n">
        <v>2</v>
      </c>
      <c r="N15" s="25" t="inlineStr">
        <is>
          <t>Not started</t>
        </is>
      </c>
      <c r="O15" s="19" t="inlineStr">
        <is>
          <t>Matches mockup header on desktop</t>
        </is>
      </c>
    </row>
    <row r="16" ht="46.25" customHeight="1" s="14">
      <c r="A16" s="19" t="inlineStr">
        <is>
          <t>S1-06</t>
        </is>
      </c>
      <c r="B16" s="19" t="inlineStr">
        <is>
          <t>S1</t>
        </is>
      </c>
      <c r="C16" s="19" t="inlineStr">
        <is>
          <t>W1–W2</t>
        </is>
      </c>
      <c r="D16" s="19" t="inlineStr">
        <is>
          <t>Foundation</t>
        </is>
      </c>
      <c r="E16" s="24" t="inlineStr">
        <is>
          <t>Responsive layout for desktop, tablet and mobile</t>
        </is>
      </c>
      <c r="F16" s="19" t="inlineStr">
        <is>
          <t>1. Desktop: list panel left, map centre, details panel right (as mockup).
2. Tablet: list panel collapses to a button.
3. Mobile: map full width, panels open as bottom drawers.
4. Test at 1440, 1024 and 390 px wide.</t>
        </is>
      </c>
      <c r="G16" s="19" t="inlineStr">
        <is>
          <t>Layout works on desktop, tablet and phone</t>
        </is>
      </c>
      <c r="H16" s="19" t="inlineStr">
        <is>
          <t>Frontend developer</t>
        </is>
      </c>
      <c r="I16" s="19" t="inlineStr">
        <is>
          <t>Colleague (frontend)</t>
        </is>
      </c>
      <c r="J16" s="19" t="inlineStr">
        <is>
          <t>Innovo: devices</t>
        </is>
      </c>
      <c r="K16" s="19" t="n"/>
      <c r="L16" s="19" t="n"/>
      <c r="M16" s="19" t="n">
        <v>2</v>
      </c>
      <c r="N16" s="25" t="inlineStr">
        <is>
          <t>Not started</t>
        </is>
      </c>
      <c r="O16" s="19" t="inlineStr">
        <is>
          <t>No horizontal scroll at 390 px; side panel becomes a drawer on mobile</t>
        </is>
      </c>
    </row>
    <row r="17" ht="46.25" customHeight="1" s="14">
      <c r="A17" s="19" t="inlineStr">
        <is>
          <t>S1-07</t>
        </is>
      </c>
      <c r="B17" s="19" t="inlineStr">
        <is>
          <t>S1</t>
        </is>
      </c>
      <c r="C17" s="19" t="inlineStr">
        <is>
          <t>W2</t>
        </is>
      </c>
      <c r="D17" s="19" t="inlineStr">
        <is>
          <t>Foundation</t>
        </is>
      </c>
      <c r="E17" s="24" t="inlineStr">
        <is>
          <t>Loading, error and empty states using the generated API client</t>
        </is>
      </c>
      <c r="F17" s="19" t="inlineStr">
        <is>
          <t>1. Connect the generated API client from S1-03.
2. Make shared components for: loading spinner, 'no data yet', error with retry.
3. Use them on every page.</t>
        </is>
      </c>
      <c r="G17" s="19" t="inlineStr">
        <is>
          <t>Consistent loading, empty and error states</t>
        </is>
      </c>
      <c r="H17" s="19" t="inlineStr">
        <is>
          <t>Frontend developer</t>
        </is>
      </c>
      <c r="I17" s="19" t="inlineStr">
        <is>
          <t>Colleague (frontend)</t>
        </is>
      </c>
      <c r="J17" s="19" t="inlineStr">
        <is>
          <t>Foundation</t>
        </is>
      </c>
      <c r="K17" s="19" t="inlineStr">
        <is>
          <t>S1-03</t>
        </is>
      </c>
      <c r="L17" s="19" t="n"/>
      <c r="M17" s="19" t="n">
        <v>2</v>
      </c>
      <c r="N17" s="25" t="inlineStr">
        <is>
          <t>Not started</t>
        </is>
      </c>
      <c r="O17" s="19" t="inlineStr">
        <is>
          <t>Every page shows a clear state when data is loading, missing or failed</t>
        </is>
      </c>
    </row>
    <row r="18" ht="35.05" customHeight="1" s="14">
      <c r="A18" s="19" t="inlineStr">
        <is>
          <t>S1-08</t>
        </is>
      </c>
      <c r="B18" s="19" t="inlineStr">
        <is>
          <t>S1</t>
        </is>
      </c>
      <c r="C18" s="19" t="inlineStr">
        <is>
          <t>W2</t>
        </is>
      </c>
      <c r="D18" s="19" t="inlineStr">
        <is>
          <t>Foundation</t>
        </is>
      </c>
      <c r="E18" s="24" t="inlineStr">
        <is>
          <t>Navigation filtered by role</t>
        </is>
      </c>
      <c r="F18" s="19" t="inlineStr">
        <is>
          <t>1. Read the user's roles from the sign-in token.
2. Hide Admin menu for non-admins.
3. Hide pages the role cannot open.</t>
        </is>
      </c>
      <c r="G18" s="19" t="inlineStr">
        <is>
          <t>Menus match the user's role</t>
        </is>
      </c>
      <c r="H18" s="19" t="inlineStr">
        <is>
          <t>Frontend developer</t>
        </is>
      </c>
      <c r="I18" s="19" t="inlineStr">
        <is>
          <t>Colleague (frontend)</t>
        </is>
      </c>
      <c r="J18" s="19" t="inlineStr">
        <is>
          <t>Innovo: permissions</t>
        </is>
      </c>
      <c r="K18" s="19" t="inlineStr">
        <is>
          <t>S1-02</t>
        </is>
      </c>
      <c r="L18" s="19" t="n"/>
      <c r="M18" s="19" t="n">
        <v>1</v>
      </c>
      <c r="N18" s="25" t="inlineStr">
        <is>
          <t>Not started</t>
        </is>
      </c>
      <c r="O18" s="19" t="inlineStr">
        <is>
          <t>Admin console hidden for non-admins</t>
        </is>
      </c>
    </row>
    <row r="19" ht="91.05" customHeight="1" s="14">
      <c r="A19" s="19" t="inlineStr">
        <is>
          <t>S1-09</t>
        </is>
      </c>
      <c r="B19" s="19" t="inlineStr">
        <is>
          <t>S1</t>
        </is>
      </c>
      <c r="C19" s="19" t="inlineStr">
        <is>
          <t>W2</t>
        </is>
      </c>
      <c r="D19" s="19" t="inlineStr">
        <is>
          <t>Foundation</t>
        </is>
      </c>
      <c r="E19" s="24" t="inlineStr">
        <is>
          <t>API baseline protections: helmet, CORS for Nexus web origins only, per-user rate limit, request size limit, Swagger UI off in prod</t>
        </is>
      </c>
      <c r="F19" s="19" t="inlineStr">
        <is>
          <t>1. Add helmet (@fastify/helmet) so every API response carries secure headers.
2. Enable CORS only for the Nexus web origins, read from config per environment (no wildcard); add the variable to .env.example and docs/04.
3. Add a per-user rate limit keyed on the Entra oid (by IP before sign-in); over the limit gives 429 problem+json with Retry-After; limits come from config.
4. Set a request body size limit (Fastify bodyLimit) from config; larger bodies get 413.
5. Serve Swagger UI only when APP_ENV is not prod.
6. Update docs/08 §6 and docs/10. Needed before S2-01 (security review of S1-02, item I6).</t>
        </is>
      </c>
      <c r="G19" s="19" t="inlineStr">
        <is>
          <t>The API refuses other origins, oversized bodies and excessive requests, and sends secure headers</t>
        </is>
      </c>
      <c r="H19" s="19" t="inlineStr">
        <is>
          <t>Backend developer</t>
        </is>
      </c>
      <c r="I19" s="19" t="inlineStr">
        <is>
          <t>You (backend)</t>
        </is>
      </c>
      <c r="J19" s="19" t="inlineStr">
        <is>
          <t>Innovo: security</t>
        </is>
      </c>
      <c r="K19" s="19" t="inlineStr">
        <is>
          <t>S1-02</t>
        </is>
      </c>
      <c r="L19" s="19" t="n"/>
      <c r="M19" s="19" t="n">
        <v>1</v>
      </c>
      <c r="N19" s="25" t="inlineStr">
        <is>
          <t>Not started</t>
        </is>
      </c>
      <c r="O19" s="19" t="inlineStr">
        <is>
          <t>Automated tests: a non-Nexus origin gets no CORS headers; a user over the limit gets 429 with Retry-After; an oversized body gets 413; secure headers on every response; Swagger UI gives 404 when APP_ENV=prod</t>
        </is>
      </c>
    </row>
    <row r="20" ht="68.65000000000001" customHeight="1" s="14">
      <c r="A20" s="19" t="inlineStr">
        <is>
          <t>S2-01</t>
        </is>
      </c>
      <c r="B20" s="19" t="inlineStr">
        <is>
          <t>S2</t>
        </is>
      </c>
      <c r="C20" s="19" t="inlineStr">
        <is>
          <t>W1</t>
        </is>
      </c>
      <c r="D20" s="19" t="inlineStr">
        <is>
          <t>Portfolio map</t>
        </is>
      </c>
      <c r="E20" s="24" t="inlineStr">
        <is>
          <t>Projects API: list, filter (status, type, district), search, scoped to user</t>
        </is>
      </c>
      <c r="F20" s="19" t="inlineStr">
        <is>
          <t>1. Create GET /projects with filters: status, type, district, search text.
2. Apply the project-scope filter from S1-02.
3. Return the fields DATOMS provides for each site (name, location, type, status).
4. Add seed data for 5 sample sites so the frontend can work before DATOMS is connected.</t>
        </is>
      </c>
      <c r="G20" s="19" t="inlineStr">
        <is>
          <t>Projects list endpoint the map uses</t>
        </is>
      </c>
      <c r="H20" s="19" t="inlineStr">
        <is>
          <t>Backend developer</t>
        </is>
      </c>
      <c r="I20" s="19" t="inlineStr">
        <is>
          <t>You (backend)</t>
        </is>
      </c>
      <c r="J20" s="19" t="inlineStr">
        <is>
          <t>Sheet: Top level</t>
        </is>
      </c>
      <c r="K20" s="19" t="inlineStr">
        <is>
          <t>S1-02, S1-09</t>
        </is>
      </c>
      <c r="L20" s="19" t="n"/>
      <c r="M20" s="19" t="n">
        <v>2</v>
      </c>
      <c r="N20" s="25" t="inlineStr">
        <is>
          <t>Not started</t>
        </is>
      </c>
      <c r="O20" s="19" t="inlineStr">
        <is>
          <t>Returns only the user's projects; search under 300 ms</t>
        </is>
      </c>
    </row>
    <row r="21" ht="68.65000000000001" customHeight="1" s="14">
      <c r="A21" s="19" t="inlineStr">
        <is>
          <t>S2-02</t>
        </is>
      </c>
      <c r="B21" s="19" t="inlineStr">
        <is>
          <t>S2</t>
        </is>
      </c>
      <c r="C21" s="19" t="inlineStr">
        <is>
          <t>W2</t>
        </is>
      </c>
      <c r="D21" s="19" t="inlineStr">
        <is>
          <t>DATOMS connector</t>
        </is>
      </c>
      <c r="E21" s="24" t="inlineStr">
        <is>
          <t>DATOMS API client: bulk endpoint, paging, retries, rate-limit and credit handling</t>
        </is>
      </c>
      <c r="F21" s="19" t="inlineStr">
        <is>
          <t>1. Read the v4 PDF, plus the DATOMS sample bulk response (Q21) and bulk field list (Q22) once received.
2. Build packages/datoms-client: list assets (catalogue) and the bulk endpoint (fleet and id mode) as the ONLY telemetry source (ADR 0010). data/latest is for CLI checks only.
3. Put ALL field mapping in src/mapping.ts. Until the sample arrives, build against the v4 PDF shape. Save the sample to fixtures/ with tokens removed.
4. Handle paging, 422 halving (with the learned page size), retries, rate limits, and the credit budget with budget.max_share (ADR 0005).
5. Test against GHAFWOODS on dev using fixtures or a small id-mode subset (never the full fleet from dev).</t>
        </is>
      </c>
      <c r="G21" s="19" t="inlineStr">
        <is>
          <t>Code that can talk to DATOMS</t>
        </is>
      </c>
      <c r="H21" s="19" t="inlineStr">
        <is>
          <t>Data / integration engineer</t>
        </is>
      </c>
      <c r="I21" s="19" t="inlineStr">
        <is>
          <t>You (backend)</t>
        </is>
      </c>
      <c r="J21" s="19" t="inlineStr">
        <is>
          <t>Brief: energy, crane utilisation</t>
        </is>
      </c>
      <c r="K21" s="19" t="n"/>
      <c r="L21" s="19" t="inlineStr">
        <is>
          <t>DATOMS sample bulk response (Q21) + bulk field list (Q22) + read-only key. Needed before this task starts; they do not block S0 or S1.</t>
        </is>
      </c>
      <c r="M21" s="19" t="n">
        <v>3</v>
      </c>
      <c r="N21" s="25" t="inlineStr">
        <is>
          <t>Not started</t>
        </is>
      </c>
      <c r="O21" s="19" t="inlineStr">
        <is>
          <t>Client reads the GHAFWOODS demo fleet (generators and tower cranes) through the bulk endpoint in dev; DATOMS field names exist only in src/mapping.ts</t>
        </is>
      </c>
    </row>
    <row r="22" ht="79.84999999999999" customHeight="1" s="14">
      <c r="A22" s="19" t="inlineStr">
        <is>
          <t>S2-03</t>
        </is>
      </c>
      <c r="B22" s="19" t="inlineStr">
        <is>
          <t>S2</t>
        </is>
      </c>
      <c r="C22" s="19" t="inlineStr">
        <is>
          <t>W1–W2</t>
        </is>
      </c>
      <c r="D22" s="19" t="inlineStr">
        <is>
          <t>Portfolio map</t>
        </is>
      </c>
      <c r="E22" s="24" t="inlineStr">
        <is>
          <t>Portfolio map (chosen provider, through the map wrapper): one pin per DATOMS site, coloured Active green, Central Store blue, Finished grey, In bid yellow where DATOMS gives the status</t>
        </is>
      </c>
      <c r="F22" s="19" t="inlineStr">
        <is>
          <t>1. Use the MapView wrapper with the ArcGIS adapter from S0-09.
2. Show a UAE map.
3. Call GET /projects and draw one pin per project.
4. Colour pins: Active green, Central Store blue, Finished grey, In bid yellow (structure sheet).
5. Click a pin = zoom to that project.</t>
        </is>
      </c>
      <c r="G22" s="19" t="inlineStr">
        <is>
          <t>Top-level portfolio map</t>
        </is>
      </c>
      <c r="H22" s="19" t="inlineStr">
        <is>
          <t>Frontend developer</t>
        </is>
      </c>
      <c r="I22" s="19" t="inlineStr">
        <is>
          <t>Colleague (frontend)</t>
        </is>
      </c>
      <c r="J22" s="19" t="inlineStr">
        <is>
          <t>Sheet: Top level</t>
        </is>
      </c>
      <c r="K22" s="19" t="inlineStr">
        <is>
          <t>S0-09</t>
        </is>
      </c>
      <c r="L22" s="19" t="n"/>
      <c r="M22" s="19" t="n">
        <v>3</v>
      </c>
      <c r="N22" s="25" t="inlineStr">
        <is>
          <t>Not started</t>
        </is>
      </c>
      <c r="O22" s="19" t="inlineStr">
        <is>
          <t>All projects shown; colours match the sheet; click zooms to project</t>
        </is>
      </c>
    </row>
    <row r="23" ht="46.25" customHeight="1" s="14">
      <c r="A23" s="19" t="inlineStr">
        <is>
          <t>S2-04</t>
        </is>
      </c>
      <c r="B23" s="19" t="inlineStr">
        <is>
          <t>S2</t>
        </is>
      </c>
      <c r="C23" s="19" t="inlineStr">
        <is>
          <t>W2</t>
        </is>
      </c>
      <c r="D23" s="19" t="inlineStr">
        <is>
          <t>Portfolio map</t>
        </is>
      </c>
      <c r="E23" s="24" t="inlineStr">
        <is>
          <t>Project list panel and summary tiles (projects, districts)</t>
        </is>
      </c>
      <c r="F23" s="19" t="inlineStr">
        <is>
          <t>1. Left panel: list of sites with the details DATOMS provides (name, location, type, status).
2. Two summary tiles at the top: number of projects, number of districts.
3. Click a project in the list = same as clicking its pin.</t>
        </is>
      </c>
      <c r="G23" s="19" t="inlineStr">
        <is>
          <t>Project list beside the map</t>
        </is>
      </c>
      <c r="H23" s="19" t="inlineStr">
        <is>
          <t>Frontend developer</t>
        </is>
      </c>
      <c r="I23" s="19" t="inlineStr">
        <is>
          <t>Colleague (frontend)</t>
        </is>
      </c>
      <c r="J23" s="19" t="inlineStr">
        <is>
          <t>Brief mockups</t>
        </is>
      </c>
      <c r="K23" s="19" t="inlineStr">
        <is>
          <t>S2-01</t>
        </is>
      </c>
      <c r="L23" s="19" t="n"/>
      <c r="M23" s="19" t="n">
        <v>2</v>
      </c>
      <c r="N23" s="25" t="inlineStr">
        <is>
          <t>Not started</t>
        </is>
      </c>
      <c r="O23" s="19" t="inlineStr">
        <is>
          <t>List matches mockup: name, district, type tag, client, consultant, PM</t>
        </is>
      </c>
    </row>
    <row r="24" ht="35.05" customHeight="1" s="14">
      <c r="A24" s="19" t="inlineStr">
        <is>
          <t>S2-05</t>
        </is>
      </c>
      <c r="B24" s="19" t="inlineStr">
        <is>
          <t>S2</t>
        </is>
      </c>
      <c r="C24" s="19" t="inlineStr">
        <is>
          <t>W2</t>
        </is>
      </c>
      <c r="D24" s="19" t="inlineStr">
        <is>
          <t>Portfolio map</t>
        </is>
      </c>
      <c r="E24" s="24" t="inlineStr">
        <is>
          <t>Search and filters</t>
        </is>
      </c>
      <c r="F24" s="19" t="inlineStr">
        <is>
          <t>1. Search box filters the list and pins by name.
2. Filter chips: status, type, district.
3. Filters call GET /projects with parameters.</t>
        </is>
      </c>
      <c r="G24" s="19" t="inlineStr">
        <is>
          <t>Users can find any project fast</t>
        </is>
      </c>
      <c r="H24" s="19" t="inlineStr">
        <is>
          <t>Frontend developer</t>
        </is>
      </c>
      <c r="I24" s="19" t="inlineStr">
        <is>
          <t>Colleague (frontend)</t>
        </is>
      </c>
      <c r="J24" s="19" t="inlineStr">
        <is>
          <t>Brief mockups</t>
        </is>
      </c>
      <c r="K24" s="19" t="inlineStr">
        <is>
          <t>S2-01</t>
        </is>
      </c>
      <c r="L24" s="19" t="n"/>
      <c r="M24" s="19" t="n">
        <v>2</v>
      </c>
      <c r="N24" s="25" t="inlineStr">
        <is>
          <t>Not started</t>
        </is>
      </c>
      <c r="O24" s="19" t="inlineStr">
        <is>
          <t>Filter by status, type, district; search by name</t>
        </is>
      </c>
    </row>
    <row r="25" ht="46.25" customHeight="1" s="14">
      <c r="A25" s="19" t="inlineStr">
        <is>
          <t>S2-06</t>
        </is>
      </c>
      <c r="B25" s="19" t="inlineStr">
        <is>
          <t>S2</t>
        </is>
      </c>
      <c r="C25" s="19" t="inlineStr">
        <is>
          <t>W2</t>
        </is>
      </c>
      <c r="D25" s="19" t="inlineStr">
        <is>
          <t>Admin console</t>
        </is>
      </c>
      <c r="E25" s="24" t="inlineStr">
        <is>
          <t>Users and roles API: group-to-role mapping, project assignment, extra permissions</t>
        </is>
      </c>
      <c r="F25" s="19" t="inlineStr">
        <is>
          <t>1. Endpoint listing Entra groups and their Nexus role.
2. Endpoints to assign users to projects. Keep room for extra permissions that later modules will need.
3. Admin only; every change goes to the audit log.</t>
        </is>
      </c>
      <c r="G25" s="19" t="inlineStr">
        <is>
          <t>Backend for managing access</t>
        </is>
      </c>
      <c r="H25" s="19" t="inlineStr">
        <is>
          <t>Backend developer</t>
        </is>
      </c>
      <c r="I25" s="19" t="inlineStr">
        <is>
          <t>You (backend)</t>
        </is>
      </c>
      <c r="J25" s="19" t="inlineStr">
        <is>
          <t>Innovo: permissions</t>
        </is>
      </c>
      <c r="K25" s="19" t="inlineStr">
        <is>
          <t>S1-02</t>
        </is>
      </c>
      <c r="L25" s="19" t="n"/>
      <c r="M25" s="19" t="n">
        <v>2</v>
      </c>
      <c r="N25" s="25" t="inlineStr">
        <is>
          <t>Not started</t>
        </is>
      </c>
      <c r="O25" s="19" t="inlineStr">
        <is>
          <t>Changes take effect on next request</t>
        </is>
      </c>
    </row>
    <row r="26" ht="35.05" customHeight="1" s="14">
      <c r="A26" s="19" t="inlineStr">
        <is>
          <t>S3-01</t>
        </is>
      </c>
      <c r="B26" s="19" t="inlineStr">
        <is>
          <t>S3</t>
        </is>
      </c>
      <c r="C26" s="19" t="inlineStr">
        <is>
          <t>W1</t>
        </is>
      </c>
      <c r="D26" s="19" t="inlineStr">
        <is>
          <t>DATOMS connector</t>
        </is>
      </c>
      <c r="E26" s="24" t="inlineStr">
        <is>
          <t>Catalogue sync (hourly): sites, devices, parameters, units</t>
        </is>
      </c>
      <c r="F26" s="19" t="inlineStr">
        <is>
          <t>1. Scheduled job in apps/worker, every hour (and early when the poll sees unknown ids).
2. Read all DATOMS assets (list assets: names, nameplate). Sites, asset types and parameters (name, unit) come in the bulk rows. The live poll (S3-03) upserts them the same way, so the catalogue job spends no bulk credits.
3. Insert new ones, update changed ones in the database.
4. Retire safely (docs/07 section 6): only after a complete walk; only rows missed in 2 consecutive complete walks; retire nothing and alert if more than 5% would go.</t>
        </is>
      </c>
      <c r="G26" s="19" t="inlineStr">
        <is>
          <t>Nexus always knows every DATOMS site and device</t>
        </is>
      </c>
      <c r="H26" s="19" t="inlineStr">
        <is>
          <t>Data / integration engineer</t>
        </is>
      </c>
      <c r="I26" s="19" t="inlineStr">
        <is>
          <t>You (backend)</t>
        </is>
      </c>
      <c r="J26" s="19" t="inlineStr">
        <is>
          <t>Innovo: show all DATOMS data</t>
        </is>
      </c>
      <c r="K26" s="19" t="inlineStr">
        <is>
          <t>S2-02</t>
        </is>
      </c>
      <c r="L26" s="19" t="inlineStr">
        <is>
          <t>DATOMS sample + field list (Q21, Q22) + read-only key; id stability (Q11)</t>
        </is>
      </c>
      <c r="M26" s="19" t="n">
        <v>2</v>
      </c>
      <c r="N26" s="25" t="inlineStr">
        <is>
          <t>Not started</t>
        </is>
      </c>
      <c r="O26" s="19" t="inlineStr">
        <is>
          <t>New DATOMS site appears in Nexus within 1 hour</t>
        </is>
      </c>
    </row>
    <row r="27" ht="46.25" customHeight="1" s="14">
      <c r="A27" s="19" t="inlineStr">
        <is>
          <t>S3-02</t>
        </is>
      </c>
      <c r="B27" s="19" t="inlineStr">
        <is>
          <t>S3</t>
        </is>
      </c>
      <c r="C27" s="19" t="inlineStr">
        <is>
          <t>W1</t>
        </is>
      </c>
      <c r="D27" s="19" t="inlineStr">
        <is>
          <t>DATOMS connector</t>
        </is>
      </c>
      <c r="E27" s="24" t="inlineStr">
        <is>
          <t>Auto-link new sites and devices on exact match; others to admin to-do list</t>
        </is>
      </c>
      <c r="F27" s="19" t="inlineStr">
        <is>
          <t>1. When a new DATOMS site appears, link it to a Nexus project if the name matches exactly.
2. Otherwise add it to an 'unlinked' list for admins.
3. Same for devices → assets.</t>
        </is>
      </c>
      <c r="G27" s="19" t="inlineStr">
        <is>
          <t>New sites appear automatically, no guessing</t>
        </is>
      </c>
      <c r="H27" s="19" t="inlineStr">
        <is>
          <t>Data / integration engineer</t>
        </is>
      </c>
      <c r="I27" s="19" t="inlineStr">
        <is>
          <t>You (backend)</t>
        </is>
      </c>
      <c r="J27" s="19" t="inlineStr">
        <is>
          <t>Innovo: sites added automatically</t>
        </is>
      </c>
      <c r="K27" s="19" t="inlineStr">
        <is>
          <t>S3-01</t>
        </is>
      </c>
      <c r="L27" s="19" t="n"/>
      <c r="M27" s="19" t="n">
        <v>2</v>
      </c>
      <c r="N27" s="25" t="inlineStr">
        <is>
          <t>Not started</t>
        </is>
      </c>
      <c r="O27" s="19" t="inlineStr">
        <is>
          <t>No guessed links; unmatched items listed</t>
        </is>
      </c>
    </row>
    <row r="28" ht="46.25" customHeight="1" s="14">
      <c r="A28" s="19" t="inlineStr">
        <is>
          <t>S3-03</t>
        </is>
      </c>
      <c r="B28" s="19" t="inlineStr">
        <is>
          <t>S3</t>
        </is>
      </c>
      <c r="C28" s="19" t="inlineStr">
        <is>
          <t>W1–W2</t>
        </is>
      </c>
      <c r="D28" s="19" t="inlineStr">
        <is>
          <t>DATOMS connector</t>
        </is>
      </c>
      <c r="E28" s="24" t="inlineStr">
        <is>
          <t>Live sync (every minute by default): bulk endpoint → packets, latest values, statuses, locations, alerts</t>
        </is>
      </c>
      <c r="F28" s="19" t="inlineStr">
        <is>
          <t>1. Job every 60 s by default (per-type interval, ADR 0006): bulk endpoint only (ADR 0010). Fleet mode when every asset is due, otherwise id mode. In dev, only the configured subset (ADR 0005).
2. Write telemetry.packet (history) and telemetry.latest_packet (current); status, location and alerts on change only.
3. Insert in batches. No per-poll bookkeeping writes (asset_parameter is insert-only; status observed_at only on change).
4. Log how long each run takes and the credits used per window.</t>
        </is>
      </c>
      <c r="G28" s="19" t="inlineStr">
        <is>
          <t>Live DATOMS data in Nexus within about 2 poll intervals</t>
        </is>
      </c>
      <c r="H28" s="19" t="inlineStr">
        <is>
          <t>Data / integration engineer</t>
        </is>
      </c>
      <c r="I28" s="19" t="inlineStr">
        <is>
          <t>You (backend)</t>
        </is>
      </c>
      <c r="J28" s="19" t="inlineStr">
        <is>
          <t>Brief: real-time visibility</t>
        </is>
      </c>
      <c r="K28" s="19" t="inlineStr">
        <is>
          <t>S3-01</t>
        </is>
      </c>
      <c r="L28" s="19" t="n"/>
      <c r="M28" s="19" t="n">
        <v>2</v>
      </c>
      <c r="N28" s="25" t="inlineStr">
        <is>
          <t>Not started</t>
        </is>
      </c>
      <c r="O28" s="19" t="inlineStr">
        <is>
          <t>Value in Nexus within 2 poll intervals of DATOMS (N-03)</t>
        </is>
      </c>
    </row>
    <row r="29" ht="57.45" customHeight="1" s="14">
      <c r="A29" s="19" t="inlineStr">
        <is>
          <t>S3-04</t>
        </is>
      </c>
      <c r="B29" s="19" t="inlineStr">
        <is>
          <t>S3</t>
        </is>
      </c>
      <c r="C29" s="19" t="inlineStr">
        <is>
          <t>W2</t>
        </is>
      </c>
      <c r="D29" s="19" t="inlineStr">
        <is>
          <t>DATOMS connector</t>
        </is>
      </c>
      <c r="E29" s="24" t="inlineStr">
        <is>
          <t>History backfill and gap repair after outages (ON HOLD)</t>
        </is>
      </c>
      <c r="F29" s="19" t="inlineStr">
        <is>
          <t>1. On first run, copy all past data from DATOMS (since Jul 2026 for GHAFWOODS).
2. Record the last time synced per device.
3. After an outage, fetch the missing time range.
4. Test by stopping the worker for an hour.</t>
        </is>
      </c>
      <c r="G29" s="19" t="inlineStr">
        <is>
          <t>Full history, no gaps after outages</t>
        </is>
      </c>
      <c r="H29" s="19" t="inlineStr">
        <is>
          <t>Data / integration engineer</t>
        </is>
      </c>
      <c r="I29" s="19" t="inlineStr">
        <is>
          <t>You (backend)</t>
        </is>
      </c>
      <c r="J29" s="19" t="inlineStr">
        <is>
          <t>Brief: trends</t>
        </is>
      </c>
      <c r="K29" s="19" t="inlineStr">
        <is>
          <t>S3-03</t>
        </is>
      </c>
      <c r="L29" s="19" t="inlineStr">
        <is>
          <t>ON HOLD (decided 2026-10-08). The bulk endpoint has no history (ADR 0010); Nexus builds its own history from polls from day one. Needs a DATOMS history feed (Q12) and a new ADR to use it. Until then, gaps stay gaps and charts show coverage (ADR 0007).</t>
        </is>
      </c>
      <c r="M29" s="19" t="n">
        <v>2</v>
      </c>
      <c r="N29" s="25" t="inlineStr">
        <is>
          <t>Blocked</t>
        </is>
      </c>
      <c r="O29" s="19" t="inlineStr">
        <is>
          <t>GHAFWOODS history since Jul 2026 loaded; gaps refilled after a forced outage</t>
        </is>
      </c>
    </row>
    <row r="30" ht="23.85" customHeight="1" s="14">
      <c r="A30" s="19" t="inlineStr">
        <is>
          <t>S3-05</t>
        </is>
      </c>
      <c r="B30" s="19" t="inlineStr">
        <is>
          <t>S3</t>
        </is>
      </c>
      <c r="C30" s="19" t="inlineStr">
        <is>
          <t>W1–W2</t>
        </is>
      </c>
      <c r="D30" s="19" t="inlineStr">
        <is>
          <t>Admin console</t>
        </is>
      </c>
      <c r="E30" s="24" t="inlineStr">
        <is>
          <t>Device linking to-do list</t>
        </is>
      </c>
      <c r="F30" s="19" t="inlineStr">
        <is>
          <t>1. Page listing unlinked DATOMS sites/devices (from S4-02).
2. Admin picks the project/asset to link each one to.</t>
        </is>
      </c>
      <c r="G30" s="19" t="inlineStr">
        <is>
          <t>Admins link anything not matched automatically</t>
        </is>
      </c>
      <c r="H30" s="19" t="inlineStr">
        <is>
          <t>Frontend developer</t>
        </is>
      </c>
      <c r="I30" s="19" t="inlineStr">
        <is>
          <t>Colleague (frontend)</t>
        </is>
      </c>
      <c r="J30" s="19" t="inlineStr">
        <is>
          <t>Innovo: sites added automatically</t>
        </is>
      </c>
      <c r="K30" s="19" t="inlineStr">
        <is>
          <t>S3-02</t>
        </is>
      </c>
      <c r="L30" s="19" t="n"/>
      <c r="M30" s="19" t="n">
        <v>2</v>
      </c>
      <c r="N30" s="25" t="inlineStr">
        <is>
          <t>Not started</t>
        </is>
      </c>
      <c r="O30" s="19" t="inlineStr">
        <is>
          <t>Admin links an unmatched device to a project</t>
        </is>
      </c>
    </row>
    <row r="31" ht="35.05" customHeight="1" s="14">
      <c r="A31" s="19" t="inlineStr">
        <is>
          <t>S3-06</t>
        </is>
      </c>
      <c r="B31" s="19" t="inlineStr">
        <is>
          <t>S3</t>
        </is>
      </c>
      <c r="C31" s="19" t="inlineStr">
        <is>
          <t>W2</t>
        </is>
      </c>
      <c r="D31" s="19" t="inlineStr">
        <is>
          <t>Admin console</t>
        </is>
      </c>
      <c r="E31" s="24" t="inlineStr">
        <is>
          <t>Integration health page: last sync, errors, delay</t>
        </is>
      </c>
      <c r="F31" s="19" t="inlineStr">
        <is>
          <t>1. Page showing: last successful sync time, number of errors, delay in minutes.
2. Red warning if the sync has stopped.</t>
        </is>
      </c>
      <c r="G31" s="19" t="inlineStr">
        <is>
          <t>Admins see if DATOMS data is flowing</t>
        </is>
      </c>
      <c r="H31" s="19" t="inlineStr">
        <is>
          <t>Frontend developer</t>
        </is>
      </c>
      <c r="I31" s="19" t="inlineStr">
        <is>
          <t>Colleague (frontend)</t>
        </is>
      </c>
      <c r="J31" s="19" t="inlineStr">
        <is>
          <t>Risks: DATOMS outage</t>
        </is>
      </c>
      <c r="K31" s="19" t="inlineStr">
        <is>
          <t>S3-03</t>
        </is>
      </c>
      <c r="L31" s="19" t="n"/>
      <c r="M31" s="19" t="n">
        <v>1</v>
      </c>
      <c r="N31" s="25" t="inlineStr">
        <is>
          <t>Not started</t>
        </is>
      </c>
      <c r="O31" s="19" t="inlineStr">
        <is>
          <t>Shows a stopped sync clearly</t>
        </is>
      </c>
    </row>
    <row r="32" ht="35.05" customHeight="1" s="14">
      <c r="A32" s="19" t="inlineStr">
        <is>
          <t>S3-07</t>
        </is>
      </c>
      <c r="B32" s="19" t="inlineStr">
        <is>
          <t>S3</t>
        </is>
      </c>
      <c r="C32" s="19" t="inlineStr">
        <is>
          <t>W2</t>
        </is>
      </c>
      <c r="D32" s="19" t="inlineStr">
        <is>
          <t>Admin console</t>
        </is>
      </c>
      <c r="E32" s="24" t="inlineStr">
        <is>
          <t>Users and roles screen: group-to-role mapping, project assignment</t>
        </is>
      </c>
      <c r="F32" s="19" t="inlineStr">
        <is>
          <t>1. Page listing groups and roles (from S3-09).
2. Assign users to projects.
3. Show each user's role and projects.</t>
        </is>
      </c>
      <c r="G32" s="19" t="inlineStr">
        <is>
          <t>Admins manage who sees what</t>
        </is>
      </c>
      <c r="H32" s="19" t="inlineStr">
        <is>
          <t>Frontend developer</t>
        </is>
      </c>
      <c r="I32" s="19" t="inlineStr">
        <is>
          <t>Colleague (frontend)</t>
        </is>
      </c>
      <c r="J32" s="19" t="inlineStr">
        <is>
          <t>Innovo: permissions</t>
        </is>
      </c>
      <c r="K32" s="19" t="inlineStr">
        <is>
          <t>S2-06</t>
        </is>
      </c>
      <c r="L32" s="19" t="n"/>
      <c r="M32" s="19" t="n">
        <v>2</v>
      </c>
      <c r="N32" s="25" t="inlineStr">
        <is>
          <t>Not started</t>
        </is>
      </c>
      <c r="O32" s="19" t="inlineStr">
        <is>
          <t>Admin assigns a user to a project</t>
        </is>
      </c>
    </row>
    <row r="33" ht="46.25" customHeight="1" s="14">
      <c r="A33" s="19" t="inlineStr">
        <is>
          <t>S4-01</t>
        </is>
      </c>
      <c r="B33" s="19" t="inlineStr">
        <is>
          <t>S4</t>
        </is>
      </c>
      <c r="C33" s="19" t="inlineStr">
        <is>
          <t>W1</t>
        </is>
      </c>
      <c r="D33" s="19" t="inlineStr">
        <is>
          <t>Project page</t>
        </is>
      </c>
      <c r="E33" s="24" t="inlineStr">
        <is>
          <t>Chart summaries (5-minute, 1-hour, 1-day) as Nexus rollup tables</t>
        </is>
      </c>
      <c r="F33" s="19" t="inlineStr">
        <is>
          <t>1. Use the rollup functions in db/schema.sql: telemetry.refresh_rollup_5m and refresh_rollup_combine (1 h, 1 day in Asia/Dubai).
2. Worker rollups job (ADR 0007): refresh_rollup_5m once per CLOSED 5-minute bucket, 2 poll intervals after it ends; re-run only for closed buckets that get late packets; 1 h after the hour's last bucket; 1 d after the Dubai day. No sliding window, no in-memory accumulators.
3. Return data coverage (packets / expectedPackets) with each bucket.
4. Check a 30-day query returns in under 1 second.</t>
        </is>
      </c>
      <c r="G33" s="19" t="inlineStr">
        <is>
          <t>Fast data for every chart</t>
        </is>
      </c>
      <c r="H33" s="19" t="inlineStr">
        <is>
          <t>Data / integration engineer</t>
        </is>
      </c>
      <c r="I33" s="19" t="inlineStr">
        <is>
          <t>You (backend)</t>
        </is>
      </c>
      <c r="J33" s="19" t="inlineStr">
        <is>
          <t>Brief: trends</t>
        </is>
      </c>
      <c r="K33" s="19" t="inlineStr">
        <is>
          <t>S3-03</t>
        </is>
      </c>
      <c r="L33" s="19" t="n"/>
      <c r="M33" s="19" t="n">
        <v>1</v>
      </c>
      <c r="N33" s="25" t="inlineStr">
        <is>
          <t>Not started</t>
        </is>
      </c>
      <c r="O33" s="19" t="inlineStr">
        <is>
          <t>30-day chart query under 1 s</t>
        </is>
      </c>
    </row>
    <row r="34" ht="46.25" customHeight="1" s="14">
      <c r="A34" s="19" t="inlineStr">
        <is>
          <t>S4-02</t>
        </is>
      </c>
      <c r="B34" s="19" t="inlineStr">
        <is>
          <t>S4</t>
        </is>
      </c>
      <c r="C34" s="19" t="inlineStr">
        <is>
          <t>W1</t>
        </is>
      </c>
      <c r="D34" s="19" t="inlineStr">
        <is>
          <t>Project page</t>
        </is>
      </c>
      <c r="E34" s="24" t="inlineStr">
        <is>
          <t>Live push: status changes sent to open browsers (Web PubSub)</t>
        </is>
      </c>
      <c r="F34" s="19" t="inlineStr">
        <is>
          <t>1. When the worker sees a status or location change, publish a slim message to Azure Web PubSub (per project group): no parameter values; values.updated hint; summary.updated; chunked well under 1 MB (docs/10, ADR 0008).
2. API gives the browser a Web PubSub token with no group-join rights. POST /v1/live/subscriptions checks permission and scope, then joins the connection to project groups on the server.
3. On any Nexus access change, close the affected live connections so clients re-subscribe through the scope check. Settle with the security-reviewer how the API confirms a connectionId belongs to the caller.</t>
        </is>
      </c>
      <c r="G34" s="19" t="inlineStr">
        <is>
          <t>Changes pushed to browsers live</t>
        </is>
      </c>
      <c r="H34" s="19" t="inlineStr">
        <is>
          <t>Backend developer</t>
        </is>
      </c>
      <c r="I34" s="19" t="inlineStr">
        <is>
          <t>You (backend)</t>
        </is>
      </c>
      <c r="J34" s="19" t="inlineStr">
        <is>
          <t>Brief: real-time visibility</t>
        </is>
      </c>
      <c r="K34" s="19" t="inlineStr">
        <is>
          <t>S3-03</t>
        </is>
      </c>
      <c r="L34" s="19" t="n"/>
      <c r="M34" s="19" t="n">
        <v>2</v>
      </c>
      <c r="N34" s="25" t="inlineStr">
        <is>
          <t>Not started</t>
        </is>
      </c>
      <c r="O34" s="19" t="inlineStr">
        <is>
          <t>Pin colour changes without refresh; a user whose project access is removed stops receiving that project's messages at once; nothing project-specific is sent to the portfolio group</t>
        </is>
      </c>
    </row>
    <row r="35" ht="46.25" customHeight="1" s="14">
      <c r="A35" s="19" t="inlineStr">
        <is>
          <t>S4-03</t>
        </is>
      </c>
      <c r="B35" s="19" t="inlineStr">
        <is>
          <t>S4</t>
        </is>
      </c>
      <c r="C35" s="19" t="inlineStr">
        <is>
          <t>W1–W2</t>
        </is>
      </c>
      <c r="D35" s="19" t="inlineStr">
        <is>
          <t>Project page</t>
        </is>
      </c>
      <c r="E35" s="24" t="inlineStr">
        <is>
          <t>Project summary APIs for the equipment and energy info boxes</t>
        </is>
      </c>
      <c r="F35" s="19" t="inlineStr">
        <is>
          <t>1. Endpoints GET /projects/{id}/equipment/summary (Box 2) and GET /projects/{id}/energy/summary (Box 3), as in docs/10.
2. Fill them from the latest DATOMS values: equipment counts from kind = 'physical' assets; energy site totals from site_metric records when DATOMS provides them. Manpower and materials are not built (slots only).</t>
        </is>
      </c>
      <c r="G35" s="19" t="inlineStr">
        <is>
          <t>The project page loads its boxes</t>
        </is>
      </c>
      <c r="H35" s="19" t="inlineStr">
        <is>
          <t>Backend developer</t>
        </is>
      </c>
      <c r="I35" s="19" t="inlineStr">
        <is>
          <t>You (backend)</t>
        </is>
      </c>
      <c r="J35" s="19" t="inlineStr">
        <is>
          <t>Sheet: L1 Info boxes</t>
        </is>
      </c>
      <c r="K35" s="19" t="inlineStr">
        <is>
          <t>S3-03</t>
        </is>
      </c>
      <c r="L35" s="19" t="n"/>
      <c r="M35" s="19" t="n">
        <v>2</v>
      </c>
      <c r="N35" s="25" t="inlineStr">
        <is>
          <t>Not started</t>
        </is>
      </c>
      <c r="O35" s="19" t="inlineStr">
        <is>
          <t>The two endpoints return Box 2 and Box 3 as reported; Boxes 1 and 4 are "coming later" slots</t>
        </is>
      </c>
    </row>
    <row r="36" ht="57.45" customHeight="1" s="14">
      <c r="A36" s="19" t="inlineStr">
        <is>
          <t>S4-04</t>
        </is>
      </c>
      <c r="B36" s="19" t="inlineStr">
        <is>
          <t>S4</t>
        </is>
      </c>
      <c r="C36" s="19" t="inlineStr">
        <is>
          <t>W1</t>
        </is>
      </c>
      <c r="D36" s="19" t="inlineStr">
        <is>
          <t>Project page</t>
        </is>
      </c>
      <c r="E36" s="24" t="inlineStr">
        <is>
          <t>Project page layout: site map, side panel, equipment and energy info boxes (space kept for manpower and materials later)</t>
        </is>
      </c>
      <c r="F36" s="19" t="inlineStr">
        <is>
          <t>1. Project page: site map in the centre, equipment and energy info boxes on the right (as structure sheet level 1); leave space for manpower and materials.
2. Load data from S5-03.
3. Back button returns to the portfolio map.</t>
        </is>
      </c>
      <c r="G36" s="19" t="inlineStr">
        <is>
          <t>Level 1 project page</t>
        </is>
      </c>
      <c r="H36" s="19" t="inlineStr">
        <is>
          <t>Frontend developer</t>
        </is>
      </c>
      <c r="I36" s="19" t="inlineStr">
        <is>
          <t>Colleague (frontend)</t>
        </is>
      </c>
      <c r="J36" s="19" t="inlineStr">
        <is>
          <t>Sheet: Level 1</t>
        </is>
      </c>
      <c r="K36" s="19" t="inlineStr">
        <is>
          <t>S4-03</t>
        </is>
      </c>
      <c r="L36" s="19" t="n"/>
      <c r="M36" s="19" t="n">
        <v>2</v>
      </c>
      <c r="N36" s="25" t="inlineStr">
        <is>
          <t>Not started</t>
        </is>
      </c>
      <c r="O36" s="19" t="inlineStr">
        <is>
          <t>Matches structure sheet level 1</t>
        </is>
      </c>
    </row>
    <row r="37" ht="57.45" customHeight="1" s="14">
      <c r="A37" s="19" t="inlineStr">
        <is>
          <t>S4-05</t>
        </is>
      </c>
      <c r="B37" s="19" t="inlineStr">
        <is>
          <t>S4</t>
        </is>
      </c>
      <c r="C37" s="19" t="inlineStr">
        <is>
          <t>W1–W2</t>
        </is>
      </c>
      <c r="D37" s="19" t="inlineStr">
        <is>
          <t>Project page</t>
        </is>
      </c>
      <c r="E37" s="24" t="inlineStr">
        <is>
          <t>Asset pins: icon per type, colour per DATOMS status, clustering, map/satellite switch</t>
        </is>
      </c>
      <c r="F37" s="19" t="inlineStr">
        <is>
          <t>1. Draw one pin per equipment asset (kind = 'physical') at its DATOMS location; no location = "Not on map".
2. Icon by type: tower crane, hoist, equipment, generator; unknown types use the generic icon.
3. Colour by DATOMS status: Running green, Idle amber, Maintenance red, Off grey.
4. Turn on clustering and a Map/Satellite switch. 3D uses the same icons with no callouts or pulse (ADR 0008).</t>
        </is>
      </c>
      <c r="G37" s="19" t="inlineStr">
        <is>
          <t>Live equipment pins on the site map</t>
        </is>
      </c>
      <c r="H37" s="19" t="inlineStr">
        <is>
          <t>Frontend developer</t>
        </is>
      </c>
      <c r="I37" s="19" t="inlineStr">
        <is>
          <t>Colleague (frontend)</t>
        </is>
      </c>
      <c r="J37" s="19" t="inlineStr">
        <is>
          <t>Sheet: L1 blinkers on map</t>
        </is>
      </c>
      <c r="K37" s="19" t="inlineStr">
        <is>
          <t>S3-03</t>
        </is>
      </c>
      <c r="L37" s="19" t="inlineStr">
        <is>
          <t>Bulk field names for location + status (Q22; DATOMS confirmed the data is in the bulk response); blink vs pulse (Q19)</t>
        </is>
      </c>
      <c r="M37" s="19" t="n">
        <v>2</v>
      </c>
      <c r="N37" s="25" t="inlineStr">
        <is>
          <t>Not started</t>
        </is>
      </c>
      <c r="O37" s="19" t="inlineStr">
        <is>
          <t>Running green, Idle amber, Maintenance red, Off grey as reported</t>
        </is>
      </c>
    </row>
    <row r="38" ht="35.05" customHeight="1" s="14">
      <c r="A38" s="19" t="inlineStr">
        <is>
          <t>S4-06</t>
        </is>
      </c>
      <c r="B38" s="19" t="inlineStr">
        <is>
          <t>S4</t>
        </is>
      </c>
      <c r="C38" s="19" t="inlineStr">
        <is>
          <t>W2</t>
        </is>
      </c>
      <c r="D38" s="19" t="inlineStr">
        <is>
          <t>Project page</t>
        </is>
      </c>
      <c r="E38" s="24" t="inlineStr">
        <is>
          <t>Live updates on pins and boxes (WebSocket)</t>
        </is>
      </c>
      <c r="F38" s="19" t="inlineStr">
        <is>
          <t>1. Connect to Web PubSub with the token from the API.
2. When a message arrives, update that pin's colour and the info box numbers without reloading.</t>
        </is>
      </c>
      <c r="G38" s="19" t="inlineStr">
        <is>
          <t>Map and boxes update live</t>
        </is>
      </c>
      <c r="H38" s="19" t="inlineStr">
        <is>
          <t>Frontend developer</t>
        </is>
      </c>
      <c r="I38" s="19" t="inlineStr">
        <is>
          <t>Colleague (frontend)</t>
        </is>
      </c>
      <c r="J38" s="19" t="inlineStr">
        <is>
          <t>Brief: real-time visibility</t>
        </is>
      </c>
      <c r="K38" s="19" t="inlineStr">
        <is>
          <t>S4-02</t>
        </is>
      </c>
      <c r="L38" s="19" t="n"/>
      <c r="M38" s="19" t="n">
        <v>1</v>
      </c>
      <c r="N38" s="25" t="inlineStr">
        <is>
          <t>Not started</t>
        </is>
      </c>
      <c r="O38" s="19" t="inlineStr">
        <is>
          <t>Update visible within a minute</t>
        </is>
      </c>
    </row>
    <row r="39" ht="35.05" customHeight="1" s="14">
      <c r="A39" s="19" t="inlineStr">
        <is>
          <t>S4-07</t>
        </is>
      </c>
      <c r="B39" s="19" t="inlineStr">
        <is>
          <t>S4</t>
        </is>
      </c>
      <c r="C39" s="19" t="inlineStr">
        <is>
          <t>W2</t>
        </is>
      </c>
      <c r="D39" s="19" t="inlineStr">
        <is>
          <t>Project page</t>
        </is>
      </c>
      <c r="E39" s="24" t="inlineStr">
        <is>
          <t>Asset side panel: live readings, faults, last run</t>
        </is>
      </c>
      <c r="F39" s="19" t="inlineStr">
        <is>
          <t>1. Click a pin = side panel with the asset's latest readings, faults and last run.
2. Link to the equipment detail page.</t>
        </is>
      </c>
      <c r="G39" s="19" t="inlineStr">
        <is>
          <t>Asset details on click</t>
        </is>
      </c>
      <c r="H39" s="19" t="inlineStr">
        <is>
          <t>Frontend developer</t>
        </is>
      </c>
      <c r="I39" s="19" t="inlineStr">
        <is>
          <t>Colleague (frontend)</t>
        </is>
      </c>
      <c r="J39" s="19" t="inlineStr">
        <is>
          <t>DATOMS parity</t>
        </is>
      </c>
      <c r="K39" s="19" t="inlineStr">
        <is>
          <t>S4-03</t>
        </is>
      </c>
      <c r="L39" s="19" t="n"/>
      <c r="M39" s="19" t="n">
        <v>1</v>
      </c>
      <c r="N39" s="25" t="inlineStr">
        <is>
          <t>Not started</t>
        </is>
      </c>
      <c r="O39" s="19" t="inlineStr">
        <is>
          <t>Opens on pin click</t>
        </is>
      </c>
    </row>
    <row r="40" ht="57.45" customHeight="1" s="14">
      <c r="A40" s="19" t="inlineStr">
        <is>
          <t>S5-01</t>
        </is>
      </c>
      <c r="B40" s="19" t="inlineStr">
        <is>
          <t>S5</t>
        </is>
      </c>
      <c r="C40" s="19" t="inlineStr">
        <is>
          <t>W1</t>
        </is>
      </c>
      <c r="D40" s="19" t="inlineStr">
        <is>
          <t>Energy</t>
        </is>
      </c>
      <c r="E40" s="24" t="inlineStr">
        <is>
          <t>Energy API: generators, solar, mains, loads by area, site totals and CO2 as reported by DATOMS</t>
        </is>
      </c>
      <c r="F40" s="19" t="inlineStr">
        <is>
          <t>1. Endpoint returning per project: generators (running/total), solar generation, mains, total load, loads by area, site totals and CO2 exactly as DATOMS gives them in the bulk response. Site totals are read from site_metric records (ADR 0009); anything missing shows "no data yet".
2. Compare with the DATOMS Site View for GHAFWOODS; numbers must match.</t>
        </is>
      </c>
      <c r="G40" s="19" t="inlineStr">
        <is>
          <t>Energy data for box 3 and the energy page</t>
        </is>
      </c>
      <c r="H40" s="19" t="inlineStr">
        <is>
          <t>Backend developer</t>
        </is>
      </c>
      <c r="I40" s="19" t="inlineStr">
        <is>
          <t>You (backend)</t>
        </is>
      </c>
      <c r="J40" s="19" t="inlineStr">
        <is>
          <t>Brief: energy monitoring; Sheet: L2 Energy</t>
        </is>
      </c>
      <c r="K40" s="19" t="inlineStr">
        <is>
          <t>S3-03</t>
        </is>
      </c>
      <c r="L40" s="19" t="inlineStr">
        <is>
          <t>Whether DATOMS has site totals (Q3); bulk field names (Q22)</t>
        </is>
      </c>
      <c r="M40" s="19" t="n">
        <v>3</v>
      </c>
      <c r="N40" s="25" t="inlineStr">
        <is>
          <t>Not started</t>
        </is>
      </c>
      <c r="O40" s="19" t="inlineStr">
        <is>
          <t>Figures match DATOMS Site View for GHAFWOODS</t>
        </is>
      </c>
    </row>
    <row r="41" ht="35.05" customHeight="1" s="14">
      <c r="A41" s="19" t="inlineStr">
        <is>
          <t>S5-02</t>
        </is>
      </c>
      <c r="B41" s="19" t="inlineStr">
        <is>
          <t>S5</t>
        </is>
      </c>
      <c r="C41" s="19" t="inlineStr">
        <is>
          <t>W1</t>
        </is>
      </c>
      <c r="D41" s="19" t="inlineStr">
        <is>
          <t>Energy</t>
        </is>
      </c>
      <c r="E41" s="24" t="inlineStr">
        <is>
          <t>Energy equipment table data incl. owned / hired</t>
        </is>
      </c>
      <c r="F41" s="19" t="inlineStr">
        <is>
          <t>1. Endpoint listing energy equipment: DG ID, description, type (DG/solar/mains), status, owned or hired.
2. Ownership comes from a DATOMS field (R-31). If DATOMS lacks it, the column is hidden and reported (Q3). Nexus doesn't keep its own ownership register.</t>
        </is>
      </c>
      <c r="G41" s="19" t="inlineStr">
        <is>
          <t>Data for the energy table</t>
        </is>
      </c>
      <c r="H41" s="19" t="inlineStr">
        <is>
          <t>Backend developer</t>
        </is>
      </c>
      <c r="I41" s="19" t="inlineStr">
        <is>
          <t>You (backend)</t>
        </is>
      </c>
      <c r="J41" s="19" t="inlineStr">
        <is>
          <t>Sheet: L2 Energy</t>
        </is>
      </c>
      <c r="K41" s="19" t="inlineStr">
        <is>
          <t>S5-01</t>
        </is>
      </c>
      <c r="L41" s="19" t="n"/>
      <c r="M41" s="19" t="n">
        <v>1</v>
      </c>
      <c r="N41" s="25" t="inlineStr">
        <is>
          <t>Not started</t>
        </is>
      </c>
      <c r="O41" s="19" t="inlineStr">
        <is>
          <t>DG ID, description, status, ownership returned</t>
        </is>
      </c>
    </row>
    <row r="42" ht="23.85" customHeight="1" s="14">
      <c r="A42" s="19" t="inlineStr">
        <is>
          <t>S5-03</t>
        </is>
      </c>
      <c r="B42" s="19" t="inlineStr">
        <is>
          <t>S5</t>
        </is>
      </c>
      <c r="C42" s="19" t="inlineStr">
        <is>
          <t>W2</t>
        </is>
      </c>
      <c r="D42" s="19" t="inlineStr">
        <is>
          <t>Energy</t>
        </is>
      </c>
      <c r="E42" s="24" t="inlineStr">
        <is>
          <t>Trend endpoints: day, week, month, year from summaries</t>
        </is>
      </c>
      <c r="F42" s="19" t="inlineStr">
        <is>
          <t>1. Endpoints for trends by day, week, month, year.
2. Read from the rollup tables (S4-01), never raw readings for ranges over 6 h. 5-minute data only within 60 days; older ranges use hourly. Return the resolution used and data coverage per bucket.</t>
        </is>
      </c>
      <c r="G42" s="19" t="inlineStr">
        <is>
          <t>Trend data for charts</t>
        </is>
      </c>
      <c r="H42" s="19" t="inlineStr">
        <is>
          <t>Backend developer</t>
        </is>
      </c>
      <c r="I42" s="19" t="inlineStr">
        <is>
          <t>You (backend)</t>
        </is>
      </c>
      <c r="J42" s="19" t="inlineStr">
        <is>
          <t>Sheet: L2 trend graphs</t>
        </is>
      </c>
      <c r="K42" s="19" t="inlineStr">
        <is>
          <t>S4-01</t>
        </is>
      </c>
      <c r="L42" s="19" t="n"/>
      <c r="M42" s="19" t="n">
        <v>2</v>
      </c>
      <c r="N42" s="25" t="inlineStr">
        <is>
          <t>Not started</t>
        </is>
      </c>
      <c r="O42" s="19" t="inlineStr">
        <is>
          <t>Each range under 1 s</t>
        </is>
      </c>
    </row>
    <row r="43" ht="35.05" customHeight="1" s="14">
      <c r="A43" s="19" t="inlineStr">
        <is>
          <t>S5-04</t>
        </is>
      </c>
      <c r="B43" s="19" t="inlineStr">
        <is>
          <t>S5</t>
        </is>
      </c>
      <c r="C43" s="19" t="inlineStr">
        <is>
          <t>W2</t>
        </is>
      </c>
      <c r="D43" s="19" t="inlineStr">
        <is>
          <t>Scale</t>
        </is>
      </c>
      <c r="E43" s="24" t="inlineStr">
        <is>
          <t>Load-test harness: simulate 100+ sites and 1,000 users</t>
        </is>
      </c>
      <c r="F43" s="19" t="inlineStr">
        <is>
          <t>1. Write a script (e.g. k6) that simulates 100+ sites of data and 1,000 users opening pages.
2. Run it against dev and record response times.</t>
        </is>
      </c>
      <c r="G43" s="19" t="inlineStr">
        <is>
          <t>Repeatable load test</t>
        </is>
      </c>
      <c r="H43" s="19" t="inlineStr">
        <is>
          <t>QA engineer</t>
        </is>
      </c>
      <c r="I43" s="19" t="inlineStr">
        <is>
          <t>You (backend)</t>
        </is>
      </c>
      <c r="J43" s="19" t="inlineStr">
        <is>
          <t>Innovo: scalable</t>
        </is>
      </c>
      <c r="K43" s="19" t="n"/>
      <c r="L43" s="19" t="n"/>
      <c r="M43" s="19" t="n">
        <v>2</v>
      </c>
      <c r="N43" s="25" t="inlineStr">
        <is>
          <t>Not started</t>
        </is>
      </c>
      <c r="O43" s="19" t="inlineStr">
        <is>
          <t>Repeatable test script in repo</t>
        </is>
      </c>
    </row>
    <row r="44" ht="35.05" customHeight="1" s="14">
      <c r="A44" s="19" t="inlineStr">
        <is>
          <t>S5-05</t>
        </is>
      </c>
      <c r="B44" s="19" t="inlineStr">
        <is>
          <t>S5</t>
        </is>
      </c>
      <c r="C44" s="19" t="inlineStr">
        <is>
          <t>W1</t>
        </is>
      </c>
      <c r="D44" s="19" t="inlineStr">
        <is>
          <t>Energy</t>
        </is>
      </c>
      <c r="E44" s="24" t="inlineStr">
        <is>
          <t>Info box 3 Energy</t>
        </is>
      </c>
      <c r="F44" s="19" t="inlineStr">
        <is>
          <t>1. Info box 3 on the project page: DGs running/total, total energy load, solar generation, main:solar ratio (structure sheet).
2. Click = open energy detail.</t>
        </is>
      </c>
      <c r="G44" s="19" t="inlineStr">
        <is>
          <t>Energy info box</t>
        </is>
      </c>
      <c r="H44" s="19" t="inlineStr">
        <is>
          <t>Frontend developer</t>
        </is>
      </c>
      <c r="I44" s="19" t="inlineStr">
        <is>
          <t>Colleague (frontend)</t>
        </is>
      </c>
      <c r="J44" s="19" t="inlineStr">
        <is>
          <t>Sheet: L1 Info box 3</t>
        </is>
      </c>
      <c r="K44" s="19" t="inlineStr">
        <is>
          <t>S4-03</t>
        </is>
      </c>
      <c r="L44" s="19" t="n"/>
      <c r="M44" s="19" t="n">
        <v>1</v>
      </c>
      <c r="N44" s="25" t="inlineStr">
        <is>
          <t>Not started</t>
        </is>
      </c>
      <c r="O44" s="19" t="inlineStr">
        <is>
          <t>DG running state, energy load, solar, main:solar ratio</t>
        </is>
      </c>
    </row>
    <row r="45" ht="23.85" customHeight="1" s="14">
      <c r="A45" s="19" t="inlineStr">
        <is>
          <t>S5-06</t>
        </is>
      </c>
      <c r="B45" s="19" t="inlineStr">
        <is>
          <t>S5</t>
        </is>
      </c>
      <c r="C45" s="19" t="inlineStr">
        <is>
          <t>W1</t>
        </is>
      </c>
      <c r="D45" s="19" t="inlineStr">
        <is>
          <t>Energy</t>
        </is>
      </c>
      <c r="E45" s="24" t="inlineStr">
        <is>
          <t>Energy detail: top ribbon of metrics</t>
        </is>
      </c>
      <c r="F45" s="19" t="inlineStr">
        <is>
          <t>1. Top ribbon on the energy page with the key energy numbers.
2. Data from S6-01.</t>
        </is>
      </c>
      <c r="G45" s="19" t="inlineStr">
        <is>
          <t>Energy summary ribbon</t>
        </is>
      </c>
      <c r="H45" s="19" t="inlineStr">
        <is>
          <t>Frontend developer</t>
        </is>
      </c>
      <c r="I45" s="19" t="inlineStr">
        <is>
          <t>Colleague (frontend)</t>
        </is>
      </c>
      <c r="J45" s="19" t="inlineStr">
        <is>
          <t>Sheet: L2 Energy</t>
        </is>
      </c>
      <c r="K45" s="19" t="inlineStr">
        <is>
          <t>S5-01</t>
        </is>
      </c>
      <c r="L45" s="19" t="n"/>
      <c r="M45" s="19" t="n">
        <v>1</v>
      </c>
      <c r="N45" s="25" t="inlineStr">
        <is>
          <t>Not started</t>
        </is>
      </c>
      <c r="O45" s="19" t="inlineStr">
        <is>
          <t>Matches sheet</t>
        </is>
      </c>
    </row>
    <row r="46" ht="23.85" customHeight="1" s="14">
      <c r="A46" s="19" t="inlineStr">
        <is>
          <t>S5-07</t>
        </is>
      </c>
      <c r="B46" s="19" t="inlineStr">
        <is>
          <t>S5</t>
        </is>
      </c>
      <c r="C46" s="19" t="inlineStr">
        <is>
          <t>W1–W2</t>
        </is>
      </c>
      <c r="D46" s="19" t="inlineStr">
        <is>
          <t>Energy</t>
        </is>
      </c>
      <c r="E46" s="24" t="inlineStr">
        <is>
          <t>Energy equipment table</t>
        </is>
      </c>
      <c r="F46" s="19" t="inlineStr">
        <is>
          <t>1. Table: DG ID, description, status, ownership (owned/hired), running/off.
2. Sort and filter.</t>
        </is>
      </c>
      <c r="G46" s="19" t="inlineStr">
        <is>
          <t>Energy equipment table</t>
        </is>
      </c>
      <c r="H46" s="19" t="inlineStr">
        <is>
          <t>Frontend developer</t>
        </is>
      </c>
      <c r="I46" s="19" t="inlineStr">
        <is>
          <t>Colleague (frontend)</t>
        </is>
      </c>
      <c r="J46" s="19" t="inlineStr">
        <is>
          <t>Sheet: L2 Energy</t>
        </is>
      </c>
      <c r="K46" s="19" t="inlineStr">
        <is>
          <t>S5-02</t>
        </is>
      </c>
      <c r="L46" s="19" t="n"/>
      <c r="M46" s="19" t="n">
        <v>2</v>
      </c>
      <c r="N46" s="25" t="inlineStr">
        <is>
          <t>Not started</t>
        </is>
      </c>
      <c r="O46" s="19" t="inlineStr">
        <is>
          <t>Sortable; status live</t>
        </is>
      </c>
    </row>
    <row r="47" ht="35.05" customHeight="1" s="14">
      <c r="A47" s="19" t="inlineStr">
        <is>
          <t>S5-08</t>
        </is>
      </c>
      <c r="B47" s="19" t="inlineStr">
        <is>
          <t>S5</t>
        </is>
      </c>
      <c r="C47" s="19" t="inlineStr">
        <is>
          <t>W2</t>
        </is>
      </c>
      <c r="D47" s="19" t="inlineStr">
        <is>
          <t>Energy</t>
        </is>
      </c>
      <c r="E47" s="24" t="inlineStr">
        <is>
          <t>Energy charts: load trends, distribution, solar trends</t>
        </is>
      </c>
      <c r="F47" s="19" t="inlineStr">
        <is>
          <t>1. Charts: load trend, load distribution, solar trend.
2. Range buttons: day, week, month, year.
3. Data from S6-03.</t>
        </is>
      </c>
      <c r="G47" s="19" t="inlineStr">
        <is>
          <t>Energy charts</t>
        </is>
      </c>
      <c r="H47" s="19" t="inlineStr">
        <is>
          <t>Frontend developer</t>
        </is>
      </c>
      <c r="I47" s="19" t="inlineStr">
        <is>
          <t>Colleague (frontend)</t>
        </is>
      </c>
      <c r="J47" s="19" t="inlineStr">
        <is>
          <t>Sheet: L2 Energy</t>
        </is>
      </c>
      <c r="K47" s="19" t="inlineStr">
        <is>
          <t>S5-03</t>
        </is>
      </c>
      <c r="L47" s="19" t="n"/>
      <c r="M47" s="19" t="n">
        <v>3</v>
      </c>
      <c r="N47" s="25" t="inlineStr">
        <is>
          <t>Not started</t>
        </is>
      </c>
      <c r="O47" s="19" t="inlineStr">
        <is>
          <t>Range switch day/week/month/year</t>
        </is>
      </c>
    </row>
    <row r="48" ht="35.05" customHeight="1" s="14">
      <c r="A48" s="19" t="inlineStr">
        <is>
          <t>S6-01</t>
        </is>
      </c>
      <c r="B48" s="19" t="inlineStr">
        <is>
          <t>S6</t>
        </is>
      </c>
      <c r="C48" s="19" t="inlineStr">
        <is>
          <t>W1</t>
        </is>
      </c>
      <c r="D48" s="19" t="inlineStr">
        <is>
          <t>Equipment</t>
        </is>
      </c>
      <c r="E48" s="24" t="inlineStr">
        <is>
          <t>Equipment API: ID, name, type, make/model, status + native DATOMS fields</t>
        </is>
      </c>
      <c r="F48" s="19" t="inlineStr">
        <is>
          <t>1. Endpoint listing equipment per project (kind = 'physical' only): ID, name, type, make/model, current status, plus extra nameplate fields as optional columns.
2. Every parameter DATOMS sends for a device is available from GET /assets/{id} (device card). The list endpoint carries no live values (ADR 0008).</t>
        </is>
      </c>
      <c r="G48" s="19" t="inlineStr">
        <is>
          <t>Data for the equipment table</t>
        </is>
      </c>
      <c r="H48" s="19" t="inlineStr">
        <is>
          <t>Backend developer</t>
        </is>
      </c>
      <c r="I48" s="19" t="inlineStr">
        <is>
          <t>You (backend)</t>
        </is>
      </c>
      <c r="J48" s="19" t="inlineStr">
        <is>
          <t>Brief: crane utilisation, asset tracking; Sheet: L2 Equipment</t>
        </is>
      </c>
      <c r="K48" s="19" t="inlineStr">
        <is>
          <t>S3-03</t>
        </is>
      </c>
      <c r="L48" s="19" t="n"/>
      <c r="M48" s="19" t="n">
        <v>2</v>
      </c>
      <c r="N48" s="25" t="inlineStr">
        <is>
          <t>Not started</t>
        </is>
      </c>
      <c r="O48" s="19" t="inlineStr">
        <is>
          <t>All DATOMS parameters available per asset</t>
        </is>
      </c>
    </row>
    <row r="49" ht="35.05" customHeight="1" s="14">
      <c r="A49" s="19" t="inlineStr">
        <is>
          <t>S6-02</t>
        </is>
      </c>
      <c r="B49" s="19" t="inlineStr">
        <is>
          <t>S6</t>
        </is>
      </c>
      <c r="C49" s="19" t="inlineStr">
        <is>
          <t>W1–W2</t>
        </is>
      </c>
      <c r="D49" s="19" t="inlineStr">
        <is>
          <t>Equipment</t>
        </is>
      </c>
      <c r="E49" s="24" t="inlineStr">
        <is>
          <t>Device card API: latest values, today's running timeline</t>
        </is>
      </c>
      <c r="F49" s="19" t="inlineStr">
        <is>
          <t>1. Endpoint for one device: latest values of every parameter.
2. Today's timeline of status changes (running, idle, off) as observed by Nexus in polls, labelled "observed by Nexus" (ADR 0007). DATOMS's own status history is used only if a later ADR adds it.</t>
        </is>
      </c>
      <c r="G49" s="19" t="inlineStr">
        <is>
          <t>Data for the device card</t>
        </is>
      </c>
      <c r="H49" s="19" t="inlineStr">
        <is>
          <t>Backend developer</t>
        </is>
      </c>
      <c r="I49" s="19" t="inlineStr">
        <is>
          <t>You (backend)</t>
        </is>
      </c>
      <c r="J49" s="19" t="inlineStr">
        <is>
          <t>Sheet: L2 Equipment</t>
        </is>
      </c>
      <c r="K49" s="19" t="inlineStr">
        <is>
          <t>S6-01</t>
        </is>
      </c>
      <c r="L49" s="19" t="n"/>
      <c r="M49" s="19" t="n">
        <v>2</v>
      </c>
      <c r="N49" s="25" t="inlineStr">
        <is>
          <t>Not started</t>
        </is>
      </c>
      <c r="O49" s="19" t="inlineStr">
        <is>
          <t>Timeline shows the status changes Nexus observed, labelled "observed by Nexus", accurate to one poll interval</t>
        </is>
      </c>
    </row>
    <row r="50" ht="35.05" customHeight="1" s="14">
      <c r="A50" s="19" t="inlineStr">
        <is>
          <t>S6-03</t>
        </is>
      </c>
      <c r="B50" s="19" t="inlineStr">
        <is>
          <t>S6</t>
        </is>
      </c>
      <c r="C50" s="19" t="inlineStr">
        <is>
          <t>W2</t>
        </is>
      </c>
      <c r="D50" s="19" t="inlineStr">
        <is>
          <t>Equipment</t>
        </is>
      </c>
      <c r="E50" s="24" t="inlineStr">
        <is>
          <t>Info box 2 counts: tower cranes, hoists, all equipment (total / idle)</t>
        </is>
      </c>
      <c r="F50" s="19" t="inlineStr">
        <is>
          <t>1. Counts per project (kind = 'physical' only): tower cranes total/idle, hoists total/idle, all equipment total/idle, using DATOMS statuses.
2. Add to the project summary (S5-03).</t>
        </is>
      </c>
      <c r="G50" s="19" t="inlineStr">
        <is>
          <t>Numbers for info box 2</t>
        </is>
      </c>
      <c r="H50" s="19" t="inlineStr">
        <is>
          <t>Backend developer</t>
        </is>
      </c>
      <c r="I50" s="19" t="inlineStr">
        <is>
          <t>You (backend)</t>
        </is>
      </c>
      <c r="J50" s="19" t="inlineStr">
        <is>
          <t>Sheet: L1 Info box 2</t>
        </is>
      </c>
      <c r="K50" s="19" t="inlineStr">
        <is>
          <t>S6-01</t>
        </is>
      </c>
      <c r="L50" s="19" t="n"/>
      <c r="M50" s="19" t="n">
        <v>1</v>
      </c>
      <c r="N50" s="25" t="inlineStr">
        <is>
          <t>Not started</t>
        </is>
      </c>
      <c r="O50" s="19" t="inlineStr">
        <is>
          <t>Counts follow DATOMS statuses</t>
        </is>
      </c>
    </row>
    <row r="51" ht="35.05" customHeight="1" s="14">
      <c r="A51" s="19" t="inlineStr">
        <is>
          <t>S6-04</t>
        </is>
      </c>
      <c r="B51" s="19" t="inlineStr">
        <is>
          <t>S6</t>
        </is>
      </c>
      <c r="C51" s="19" t="inlineStr">
        <is>
          <t>W2</t>
        </is>
      </c>
      <c r="D51" s="19" t="inlineStr">
        <is>
          <t>Notifications</t>
        </is>
      </c>
      <c r="E51" s="24" t="inlineStr">
        <is>
          <t>Notifications from the DATOMS bulk response, and API (filter by site, asset, type)</t>
        </is>
      </c>
      <c r="F51" s="19" t="inlineStr">
        <is>
          <t>1. In the live poll: take DATOMS alerts and faults from the bulk response (ADR 0010; no separate events job).
2. Store them; endpoint to list with filters: site, asset, type, date. "Mark all read" moves a read marker (docs/06 section 3, item 11).
3. Show them exactly as DATOMS sends them.</t>
        </is>
      </c>
      <c r="G51" s="19" t="inlineStr">
        <is>
          <t>Notifications in Nexus</t>
        </is>
      </c>
      <c r="H51" s="19" t="inlineStr">
        <is>
          <t>Data / integration engineer</t>
        </is>
      </c>
      <c r="I51" s="19" t="inlineStr">
        <is>
          <t>You (backend)</t>
        </is>
      </c>
      <c r="J51" s="19" t="inlineStr">
        <is>
          <t>Innovo: alerts as they come</t>
        </is>
      </c>
      <c r="K51" s="19" t="inlineStr">
        <is>
          <t>S3-03</t>
        </is>
      </c>
      <c r="L51" s="19" t="inlineStr">
        <is>
          <t>Alert field names in the bulk response (Q22)</t>
        </is>
      </c>
      <c r="M51" s="19" t="n">
        <v>2</v>
      </c>
      <c r="N51" s="25" t="inlineStr">
        <is>
          <t>Not started</t>
        </is>
      </c>
      <c r="O51" s="19" t="inlineStr">
        <is>
          <t>Same notifications as DATOMS, newest first</t>
        </is>
      </c>
    </row>
    <row r="52" ht="35.05" customHeight="1" s="14">
      <c r="A52" s="19" t="inlineStr">
        <is>
          <t>S6-05</t>
        </is>
      </c>
      <c r="B52" s="19" t="inlineStr">
        <is>
          <t>S6</t>
        </is>
      </c>
      <c r="C52" s="19" t="inlineStr">
        <is>
          <t>W1</t>
        </is>
      </c>
      <c r="D52" s="19" t="inlineStr">
        <is>
          <t>Equipment</t>
        </is>
      </c>
      <c r="E52" s="24" t="inlineStr">
        <is>
          <t>Info box 2 component</t>
        </is>
      </c>
      <c r="F52" s="19" t="inlineStr">
        <is>
          <t>1. Info box 2: tower cranes count/idle, hoists count/idle, total equipment/idle (structure sheet).
2. Click = open equipment detail.</t>
        </is>
      </c>
      <c r="G52" s="19" t="inlineStr">
        <is>
          <t>Equipment info box</t>
        </is>
      </c>
      <c r="H52" s="19" t="inlineStr">
        <is>
          <t>Frontend developer</t>
        </is>
      </c>
      <c r="I52" s="19" t="inlineStr">
        <is>
          <t>Colleague (frontend)</t>
        </is>
      </c>
      <c r="J52" s="19" t="inlineStr">
        <is>
          <t>Sheet: L1 Info box 2</t>
        </is>
      </c>
      <c r="K52" s="19" t="inlineStr">
        <is>
          <t>S6-03</t>
        </is>
      </c>
      <c r="L52" s="19" t="n"/>
      <c r="M52" s="19" t="n">
        <v>1</v>
      </c>
      <c r="N52" s="25" t="inlineStr">
        <is>
          <t>Not started</t>
        </is>
      </c>
      <c r="O52" s="19" t="inlineStr">
        <is>
          <t>Count / idle per type</t>
        </is>
      </c>
    </row>
    <row r="53" ht="35.05" customHeight="1" s="14">
      <c r="A53" s="19" t="inlineStr">
        <is>
          <t>S6-06</t>
        </is>
      </c>
      <c r="B53" s="19" t="inlineStr">
        <is>
          <t>S6</t>
        </is>
      </c>
      <c r="C53" s="19" t="inlineStr">
        <is>
          <t>W1</t>
        </is>
      </c>
      <c r="D53" s="19" t="inlineStr">
        <is>
          <t>Equipment</t>
        </is>
      </c>
      <c r="E53" s="24" t="inlineStr">
        <is>
          <t>Equipment detail table: sort, filter by type and status</t>
        </is>
      </c>
      <c r="F53" s="19" t="inlineStr">
        <is>
          <t>1. Table with Equipment ID, Name, Type, Model/Make, Current Status + extra DATOMS fields.
2. Filter by type and status; sort; search.</t>
        </is>
      </c>
      <c r="G53" s="19" t="inlineStr">
        <is>
          <t>Equipment detail page</t>
        </is>
      </c>
      <c r="H53" s="19" t="inlineStr">
        <is>
          <t>Frontend developer</t>
        </is>
      </c>
      <c r="I53" s="19" t="inlineStr">
        <is>
          <t>Colleague (frontend)</t>
        </is>
      </c>
      <c r="J53" s="19" t="inlineStr">
        <is>
          <t>Sheet: L2 Equipment</t>
        </is>
      </c>
      <c r="K53" s="19" t="inlineStr">
        <is>
          <t>S6-01</t>
        </is>
      </c>
      <c r="L53" s="19" t="n"/>
      <c r="M53" s="19" t="n">
        <v>2</v>
      </c>
      <c r="N53" s="25" t="inlineStr">
        <is>
          <t>Not started</t>
        </is>
      </c>
      <c r="O53" s="19" t="inlineStr">
        <is>
          <t>All sheet columns plus native fields</t>
        </is>
      </c>
    </row>
    <row r="54" ht="23.85" customHeight="1" s="14">
      <c r="A54" s="19" t="inlineStr">
        <is>
          <t>S6-07</t>
        </is>
      </c>
      <c r="B54" s="19" t="inlineStr">
        <is>
          <t>S6</t>
        </is>
      </c>
      <c r="C54" s="19" t="inlineStr">
        <is>
          <t>W2</t>
        </is>
      </c>
      <c r="D54" s="19" t="inlineStr">
        <is>
          <t>Equipment</t>
        </is>
      </c>
      <c r="E54" s="24" t="inlineStr">
        <is>
          <t>Device card</t>
        </is>
      </c>
      <c r="F54" s="19" t="inlineStr">
        <is>
          <t>1. Card opened from a table row or a map pin.
2. Shows all latest values and today's timeline.</t>
        </is>
      </c>
      <c r="G54" s="19" t="inlineStr">
        <is>
          <t>Device card</t>
        </is>
      </c>
      <c r="H54" s="19" t="inlineStr">
        <is>
          <t>Frontend developer</t>
        </is>
      </c>
      <c r="I54" s="19" t="inlineStr">
        <is>
          <t>Colleague (frontend)</t>
        </is>
      </c>
      <c r="J54" s="19" t="inlineStr">
        <is>
          <t>Sheet: L2 Equipment</t>
        </is>
      </c>
      <c r="K54" s="19" t="inlineStr">
        <is>
          <t>S6-02</t>
        </is>
      </c>
      <c r="L54" s="19" t="n"/>
      <c r="M54" s="19" t="n">
        <v>2</v>
      </c>
      <c r="N54" s="25" t="inlineStr">
        <is>
          <t>Not started</t>
        </is>
      </c>
      <c r="O54" s="19" t="inlineStr">
        <is>
          <t>Opens from table row or pin</t>
        </is>
      </c>
    </row>
    <row r="55" ht="23.85" customHeight="1" s="14">
      <c r="A55" s="19" t="inlineStr">
        <is>
          <t>S6-08</t>
        </is>
      </c>
      <c r="B55" s="19" t="inlineStr">
        <is>
          <t>S6</t>
        </is>
      </c>
      <c r="C55" s="19" t="inlineStr">
        <is>
          <t>W2</t>
        </is>
      </c>
      <c r="D55" s="19" t="inlineStr">
        <is>
          <t>Notifications</t>
        </is>
      </c>
      <c r="E55" s="24" t="inlineStr">
        <is>
          <t>Notifications bell and list with filters</t>
        </is>
      </c>
      <c r="F55" s="19" t="inlineStr">
        <is>
          <t>1. Bell in header shows unread count.
2. Click = list of notifications, newest first, with filters.</t>
        </is>
      </c>
      <c r="G55" s="19" t="inlineStr">
        <is>
          <t>Notifications in the header</t>
        </is>
      </c>
      <c r="H55" s="19" t="inlineStr">
        <is>
          <t>Frontend developer</t>
        </is>
      </c>
      <c r="I55" s="19" t="inlineStr">
        <is>
          <t>Colleague (frontend)</t>
        </is>
      </c>
      <c r="J55" s="19" t="inlineStr">
        <is>
          <t>Innovo: alerts as they come</t>
        </is>
      </c>
      <c r="K55" s="19" t="inlineStr">
        <is>
          <t>S6-04</t>
        </is>
      </c>
      <c r="L55" s="19" t="n"/>
      <c r="M55" s="19" t="n">
        <v>2</v>
      </c>
      <c r="N55" s="25" t="inlineStr">
        <is>
          <t>Not started</t>
        </is>
      </c>
      <c r="O55" s="19" t="inlineStr">
        <is>
          <t>Unread count; filter by site and asset</t>
        </is>
      </c>
    </row>
    <row r="56" ht="46.25" customHeight="1" s="14">
      <c r="A56" s="19" t="inlineStr">
        <is>
          <t>S7-01</t>
        </is>
      </c>
      <c r="B56" s="19" t="inlineStr">
        <is>
          <t>S7</t>
        </is>
      </c>
      <c r="C56" s="19" t="inlineStr">
        <is>
          <t>W1</t>
        </is>
      </c>
      <c r="D56" s="19" t="inlineStr">
        <is>
          <t>DATOMS explorer</t>
        </is>
      </c>
      <c r="E56" s="24" t="inlineStr">
        <is>
          <t>Explorer API: any device, any parameter, time range, min / avg / max, compare</t>
        </is>
      </c>
      <c r="F56" s="19" t="inlineStr">
        <is>
          <t>1. Endpoint: for any device, list its parameters.
2. Endpoint: values for chosen parameters and time range, with min / average / max.
3. Works for any new parameter without code changes.</t>
        </is>
      </c>
      <c r="G56" s="19" t="inlineStr">
        <is>
          <t>Data for 'all DATOMS data'</t>
        </is>
      </c>
      <c r="H56" s="19" t="inlineStr">
        <is>
          <t>Data / integration engineer</t>
        </is>
      </c>
      <c r="I56" s="19" t="inlineStr">
        <is>
          <t>You (backend)</t>
        </is>
      </c>
      <c r="J56" s="19" t="inlineStr">
        <is>
          <t>Innovo: show all DATOMS data</t>
        </is>
      </c>
      <c r="K56" s="19" t="inlineStr">
        <is>
          <t>S4-01</t>
        </is>
      </c>
      <c r="L56" s="19" t="n"/>
      <c r="M56" s="19" t="n">
        <v>2</v>
      </c>
      <c r="N56" s="25" t="inlineStr">
        <is>
          <t>Not started</t>
        </is>
      </c>
      <c r="O56" s="19" t="inlineStr">
        <is>
          <t>New parameter types appear with no code change</t>
        </is>
      </c>
    </row>
    <row r="57" ht="79.84999999999999" customHeight="1" s="14">
      <c r="A57" s="19" t="inlineStr">
        <is>
          <t>S7-02</t>
        </is>
      </c>
      <c r="B57" s="19" t="inlineStr">
        <is>
          <t>S7</t>
        </is>
      </c>
      <c r="C57" s="19" t="inlineStr">
        <is>
          <t>W2</t>
        </is>
      </c>
      <c r="D57" s="19" t="inlineStr">
        <is>
          <t>Security</t>
        </is>
      </c>
      <c r="E57" s="24" t="inlineStr">
        <is>
          <t>Security hardening: private endpoints, key rotation, firewall rules, web security headers</t>
        </is>
      </c>
      <c r="F57" s="19" t="inlineStr">
        <is>
          <t>1. Put PostgreSQL and Blob behind private endpoints.
2. Rotate keys in Key Vault.
3. Firewall: only Container Apps can reach the database.
4. Web app security headers and CSP (docs/08 §6) in staticwebapp.config.json: a CSP that allows only the MSAL (Entra) and ArcGIS domains plus the API and Web PubSub hosts; HSTS, X-Content-Type-Options, Referrer-Policy, frame-ancestors none. (Added by the S0 plan, 2026-10-09.)</t>
        </is>
      </c>
      <c r="G57" s="19" t="inlineStr">
        <is>
          <t>Data not reachable from the internet; the web app sends a CSP and security headers</t>
        </is>
      </c>
      <c r="H57" s="19" t="inlineStr">
        <is>
          <t>DevOps engineer</t>
        </is>
      </c>
      <c r="I57" s="19" t="inlineStr">
        <is>
          <t>You (backend)</t>
        </is>
      </c>
      <c r="J57" s="19" t="inlineStr">
        <is>
          <t>Innovo: security</t>
        </is>
      </c>
      <c r="K57" s="19" t="n"/>
      <c r="L57" s="19" t="n"/>
      <c r="M57" s="19" t="n">
        <v>2</v>
      </c>
      <c r="N57" s="25" t="inlineStr">
        <is>
          <t>Not started</t>
        </is>
      </c>
      <c r="O57" s="19" t="inlineStr">
        <is>
          <t>Databases unreachable from internet; a header scan of the prod web URL shows the CSP and security headers, and sign-in and the map still work with the CSP on</t>
        </is>
      </c>
    </row>
    <row r="58" ht="57.45" customHeight="1" s="14">
      <c r="A58" s="19" t="inlineStr">
        <is>
          <t>S7-03</t>
        </is>
      </c>
      <c r="B58" s="19" t="inlineStr">
        <is>
          <t>S7</t>
        </is>
      </c>
      <c r="C58" s="19" t="inlineStr">
        <is>
          <t>W1–W2</t>
        </is>
      </c>
      <c r="D58" s="19" t="inlineStr">
        <is>
          <t>DATOMS explorer</t>
        </is>
      </c>
      <c r="E58" s="24" t="inlineStr">
        <is>
          <t>Explorer screens: site and device picker, parameter tiles, chart with ranges and compare</t>
        </is>
      </c>
      <c r="F58" s="19" t="inlineStr">
        <is>
          <t>1. Pick site, then device.
2. Tiles with latest value of every parameter.
3. Click a parameter = chart with ranges (24 h, 7 days, 30 days, custom) and min/avg/max.
4. Compare several parameters on one chart.</t>
        </is>
      </c>
      <c r="G58" s="19" t="inlineStr">
        <is>
          <t>Explorer showing all DATOMS data</t>
        </is>
      </c>
      <c r="H58" s="19" t="inlineStr">
        <is>
          <t>Frontend developer</t>
        </is>
      </c>
      <c r="I58" s="19" t="inlineStr">
        <is>
          <t>Colleague (frontend)</t>
        </is>
      </c>
      <c r="J58" s="19" t="inlineStr">
        <is>
          <t>Innovo: show all DATOMS data</t>
        </is>
      </c>
      <c r="K58" s="19" t="inlineStr">
        <is>
          <t>S7-01</t>
        </is>
      </c>
      <c r="L58" s="19" t="n"/>
      <c r="M58" s="19" t="n">
        <v>3</v>
      </c>
      <c r="N58" s="25" t="inlineStr">
        <is>
          <t>Not started</t>
        </is>
      </c>
      <c r="O58" s="19" t="inlineStr">
        <is>
          <t>Matches DATOMS parameter view</t>
        </is>
      </c>
    </row>
    <row r="59" ht="35.05" customHeight="1" s="14">
      <c r="A59" s="19" t="inlineStr">
        <is>
          <t>S7-04</t>
        </is>
      </c>
      <c r="B59" s="19" t="inlineStr">
        <is>
          <t>S7</t>
        </is>
      </c>
      <c r="C59" s="19" t="inlineStr">
        <is>
          <t>W1</t>
        </is>
      </c>
      <c r="D59" s="19" t="inlineStr">
        <is>
          <t>Hardening</t>
        </is>
      </c>
      <c r="E59" s="24" t="inlineStr">
        <is>
          <t>Automated permission tests for every role</t>
        </is>
      </c>
      <c r="F59" s="19" t="inlineStr">
        <is>
          <t>1. Create a test user for each role.
2. Automated tests: each role can open what it should, and is refused everything else.</t>
        </is>
      </c>
      <c r="G59" s="19" t="inlineStr">
        <is>
          <t>Permissions proven by tests</t>
        </is>
      </c>
      <c r="H59" s="19" t="inlineStr">
        <is>
          <t>QA engineer</t>
        </is>
      </c>
      <c r="I59" s="19" t="inlineStr">
        <is>
          <t>You (backend)</t>
        </is>
      </c>
      <c r="J59" s="19" t="inlineStr">
        <is>
          <t>Innovo: permissions</t>
        </is>
      </c>
      <c r="K59" s="19" t="inlineStr">
        <is>
          <t>S2-06</t>
        </is>
      </c>
      <c r="L59" s="19" t="n"/>
      <c r="M59" s="19" t="n">
        <v>2</v>
      </c>
      <c r="N59" s="25" t="inlineStr">
        <is>
          <t>Not started</t>
        </is>
      </c>
      <c r="O59" s="19" t="inlineStr">
        <is>
          <t>Every role's allowed and denied paths covered</t>
        </is>
      </c>
    </row>
    <row r="60" ht="23.85" customHeight="1" s="14">
      <c r="A60" s="19" t="inlineStr">
        <is>
          <t>S7-05</t>
        </is>
      </c>
      <c r="B60" s="19" t="inlineStr">
        <is>
          <t>S7</t>
        </is>
      </c>
      <c r="C60" s="19" t="inlineStr">
        <is>
          <t>W2</t>
        </is>
      </c>
      <c r="D60" s="19" t="inlineStr">
        <is>
          <t>Hardening</t>
        </is>
      </c>
      <c r="E60" s="24" t="inlineStr">
        <is>
          <t>Production environment from code</t>
        </is>
      </c>
      <c r="F60" s="19" t="inlineStr">
        <is>
          <t>1. Deploy 'nexus-prod' from the same Bicep files.
2. Separate keys and Entra settings for production.</t>
        </is>
      </c>
      <c r="G60" s="19" t="inlineStr">
        <is>
          <t>Production environment ready</t>
        </is>
      </c>
      <c r="H60" s="19" t="inlineStr">
        <is>
          <t>DevOps engineer</t>
        </is>
      </c>
      <c r="I60" s="19" t="inlineStr">
        <is>
          <t>You (backend)</t>
        </is>
      </c>
      <c r="J60" s="19" t="inlineStr">
        <is>
          <t>Foundation</t>
        </is>
      </c>
      <c r="K60" s="19" t="inlineStr">
        <is>
          <t>S0-02</t>
        </is>
      </c>
      <c r="L60" s="19" t="n"/>
      <c r="M60" s="19" t="n">
        <v>1</v>
      </c>
      <c r="N60" s="25" t="inlineStr">
        <is>
          <t>Not started</t>
        </is>
      </c>
      <c r="O60" s="19" t="inlineStr">
        <is>
          <t>Prod built from the same Bicep files</t>
        </is>
      </c>
    </row>
    <row r="61" ht="23.85" customHeight="1" s="14">
      <c r="A61" s="19" t="inlineStr">
        <is>
          <t>S7-06</t>
        </is>
      </c>
      <c r="B61" s="19" t="inlineStr">
        <is>
          <t>S7</t>
        </is>
      </c>
      <c r="C61" s="19" t="inlineStr">
        <is>
          <t>W1</t>
        </is>
      </c>
      <c r="D61" s="19" t="inlineStr">
        <is>
          <t>Hardening</t>
        </is>
      </c>
      <c r="E61" s="24" t="inlineStr">
        <is>
          <t>Tablet and mobile polish</t>
        </is>
      </c>
      <c r="F61" s="19" t="inlineStr">
        <is>
          <t>1. Test every screen on a phone and a tablet.
2. Fix layouts, touch targets, drawers.</t>
        </is>
      </c>
      <c r="G61" s="19" t="inlineStr">
        <is>
          <t>Polished tablet and mobile</t>
        </is>
      </c>
      <c r="H61" s="19" t="inlineStr">
        <is>
          <t>Frontend developer</t>
        </is>
      </c>
      <c r="I61" s="19" t="inlineStr">
        <is>
          <t>Colleague (frontend)</t>
        </is>
      </c>
      <c r="J61" s="19" t="inlineStr">
        <is>
          <t>Innovo: devices</t>
        </is>
      </c>
      <c r="K61" s="19" t="n"/>
      <c r="L61" s="19" t="n"/>
      <c r="M61" s="19" t="n">
        <v>2</v>
      </c>
      <c r="N61" s="25" t="inlineStr">
        <is>
          <t>Not started</t>
        </is>
      </c>
      <c r="O61" s="19" t="inlineStr">
        <is>
          <t>All screens usable on phone and tablet</t>
        </is>
      </c>
    </row>
    <row r="62" ht="35.05" customHeight="1" s="14">
      <c r="A62" s="19" t="inlineStr">
        <is>
          <t>S7-07</t>
        </is>
      </c>
      <c r="B62" s="19" t="inlineStr">
        <is>
          <t>S7</t>
        </is>
      </c>
      <c r="C62" s="19" t="inlineStr">
        <is>
          <t>W1</t>
        </is>
      </c>
      <c r="D62" s="19" t="inlineStr">
        <is>
          <t>Hardening</t>
        </is>
      </c>
      <c r="E62" s="24" t="inlineStr">
        <is>
          <t>Stale and missing data states: last updated, gaps shown as gaps</t>
        </is>
      </c>
      <c r="F62" s="19" t="inlineStr">
        <is>
          <t>1. Show 'last updated' on every live box.
2. Show missing data as a gap in charts, never as zero.
3. Grey 'offline' state when DATOMS reports it.</t>
        </is>
      </c>
      <c r="G62" s="19" t="inlineStr">
        <is>
          <t>Users can trust what they see</t>
        </is>
      </c>
      <c r="H62" s="19" t="inlineStr">
        <is>
          <t>Frontend developer</t>
        </is>
      </c>
      <c r="I62" s="19" t="inlineStr">
        <is>
          <t>Colleague (frontend)</t>
        </is>
      </c>
      <c r="J62" s="19" t="inlineStr">
        <is>
          <t>Risks: data quality</t>
        </is>
      </c>
      <c r="K62" s="19" t="n"/>
      <c r="L62" s="19" t="n"/>
      <c r="M62" s="19" t="n">
        <v>2</v>
      </c>
      <c r="N62" s="25" t="inlineStr">
        <is>
          <t>Not started</t>
        </is>
      </c>
      <c r="O62" s="19" t="inlineStr">
        <is>
          <t>No zeros shown for missing data</t>
        </is>
      </c>
    </row>
    <row r="63" ht="35.05" customHeight="1" s="14">
      <c r="A63" s="19" t="inlineStr">
        <is>
          <t>S8-01</t>
        </is>
      </c>
      <c r="B63" s="19" t="inlineStr">
        <is>
          <t>S8</t>
        </is>
      </c>
      <c r="C63" s="19" t="inlineStr">
        <is>
          <t>W1</t>
        </is>
      </c>
      <c r="D63" s="19" t="inlineStr">
        <is>
          <t>Hardening</t>
        </is>
      </c>
      <c r="E63" s="24" t="inlineStr">
        <is>
          <t>Load test 100+ sites and 1,000 users; fix bottlenecks</t>
        </is>
      </c>
      <c r="F63" s="19" t="inlineStr">
        <is>
          <t>1. Run the S6-04 load test at 100+ sites and 1,000 users.
2. Find slow endpoints; add indexes or caching.
3. Re-run until pages load in under 2 seconds.</t>
        </is>
      </c>
      <c r="G63" s="19" t="inlineStr">
        <is>
          <t>Proven performance at scale</t>
        </is>
      </c>
      <c r="H63" s="19" t="inlineStr">
        <is>
          <t>QA engineer</t>
        </is>
      </c>
      <c r="I63" s="19" t="inlineStr">
        <is>
          <t>You (backend)</t>
        </is>
      </c>
      <c r="J63" s="19" t="inlineStr">
        <is>
          <t>Innovo: scalable</t>
        </is>
      </c>
      <c r="K63" s="19" t="inlineStr">
        <is>
          <t>S5-04</t>
        </is>
      </c>
      <c r="L63" s="19" t="n"/>
      <c r="M63" s="19" t="n">
        <v>3</v>
      </c>
      <c r="N63" s="25" t="inlineStr">
        <is>
          <t>Not started</t>
        </is>
      </c>
      <c r="O63" s="19" t="inlineStr">
        <is>
          <t>Pages under 2 s at target load</t>
        </is>
      </c>
    </row>
    <row r="64" ht="23.85" customHeight="1" s="14">
      <c r="A64" s="19" t="inlineStr">
        <is>
          <t>S8-02</t>
        </is>
      </c>
      <c r="B64" s="19" t="inlineStr">
        <is>
          <t>S8</t>
        </is>
      </c>
      <c r="C64" s="19" t="inlineStr">
        <is>
          <t>W2</t>
        </is>
      </c>
      <c r="D64" s="19" t="inlineStr">
        <is>
          <t>Hardening</t>
        </is>
      </c>
      <c r="E64" s="24" t="inlineStr">
        <is>
          <t>Backups, restore test, monitoring alerts (sync stopped, error spikes)</t>
        </is>
      </c>
      <c r="F64" s="19" t="inlineStr">
        <is>
          <t>1. Turn on daily database backups; do one restore test.
2. Alerts in Application Insights: sync stopped, error spike, slow responses.</t>
        </is>
      </c>
      <c r="G64" s="19" t="inlineStr">
        <is>
          <t>Backups and alerts working</t>
        </is>
      </c>
      <c r="H64" s="19" t="inlineStr">
        <is>
          <t>DevOps engineer</t>
        </is>
      </c>
      <c r="I64" s="19" t="inlineStr">
        <is>
          <t>You (backend)</t>
        </is>
      </c>
      <c r="J64" s="19" t="inlineStr">
        <is>
          <t>Risks</t>
        </is>
      </c>
      <c r="K64" s="19" t="n"/>
      <c r="L64" s="19" t="n"/>
      <c r="M64" s="19" t="n">
        <v>2</v>
      </c>
      <c r="N64" s="25" t="inlineStr">
        <is>
          <t>Not started</t>
        </is>
      </c>
      <c r="O64" s="19" t="inlineStr">
        <is>
          <t>Restore proven; alert fires on stopped sync</t>
        </is>
      </c>
    </row>
    <row r="65" ht="35.05" customHeight="1" s="14">
      <c r="A65" s="19" t="inlineStr">
        <is>
          <t>S8-03</t>
        </is>
      </c>
      <c r="B65" s="19" t="inlineStr">
        <is>
          <t>S8</t>
        </is>
      </c>
      <c r="C65" s="19" t="inlineStr">
        <is>
          <t>W2</t>
        </is>
      </c>
      <c r="D65" s="19" t="inlineStr">
        <is>
          <t>Hardening</t>
        </is>
      </c>
      <c r="E65" s="24" t="inlineStr">
        <is>
          <t>Accessibility and performance pass</t>
        </is>
      </c>
      <c r="F65" s="19" t="inlineStr">
        <is>
          <t>1. Keyboard navigation and visible focus.
2. Check contrast.
3. Reduce bundle size; lazy-load heavy pages.</t>
        </is>
      </c>
      <c r="G65" s="19" t="inlineStr">
        <is>
          <t>Accessible and fast</t>
        </is>
      </c>
      <c r="H65" s="19" t="inlineStr">
        <is>
          <t>UI/UX designer</t>
        </is>
      </c>
      <c r="I65" s="19" t="inlineStr">
        <is>
          <t>Colleague (frontend)</t>
        </is>
      </c>
      <c r="J65" s="19" t="inlineStr">
        <is>
          <t>Quality</t>
        </is>
      </c>
      <c r="K65" s="19" t="n"/>
      <c r="L65" s="19" t="n"/>
      <c r="M65" s="19" t="n">
        <v>2</v>
      </c>
      <c r="N65" s="25" t="inlineStr">
        <is>
          <t>Not started</t>
        </is>
      </c>
      <c r="O65" s="19" t="inlineStr">
        <is>
          <t>Keyboard navigation; fast first load</t>
        </is>
      </c>
    </row>
    <row r="66" ht="23.85" customHeight="1" s="14">
      <c r="A66" s="19" t="inlineStr">
        <is>
          <t>S8-04</t>
        </is>
      </c>
      <c r="B66" s="19" t="inlineStr">
        <is>
          <t>S8</t>
        </is>
      </c>
      <c r="C66" s="19" t="inlineStr">
        <is>
          <t>W2</t>
        </is>
      </c>
      <c r="D66" s="19" t="inlineStr">
        <is>
          <t>Hardening</t>
        </is>
      </c>
      <c r="E66" s="24" t="inlineStr">
        <is>
          <t>Report a data issue link</t>
        </is>
      </c>
      <c r="F66" s="19" t="inlineStr">
        <is>
          <t>1. 'Report a data issue' link on data boxes.
2. Sends the site, asset and description to the site/technical team contact.</t>
        </is>
      </c>
      <c r="G66" s="19" t="inlineStr">
        <is>
          <t>Data problems reach the right team</t>
        </is>
      </c>
      <c r="H66" s="19" t="inlineStr">
        <is>
          <t>Frontend developer</t>
        </is>
      </c>
      <c r="I66" s="19" t="inlineStr">
        <is>
          <t>Colleague (frontend)</t>
        </is>
      </c>
      <c r="J66" s="19" t="inlineStr">
        <is>
          <t>Risks: data quality</t>
        </is>
      </c>
      <c r="K66" s="19" t="n"/>
      <c r="L66" s="19" t="n"/>
      <c r="M66" s="19" t="n">
        <v>1</v>
      </c>
      <c r="N66" s="25" t="inlineStr">
        <is>
          <t>Not started</t>
        </is>
      </c>
      <c r="O66" s="19" t="inlineStr">
        <is>
          <t>Sends issue to site/technical team contact</t>
        </is>
      </c>
    </row>
    <row r="67" ht="35.05" customHeight="1" s="14">
      <c r="A67" s="19" t="inlineStr">
        <is>
          <t>S8-05</t>
        </is>
      </c>
      <c r="B67" s="19" t="inlineStr">
        <is>
          <t>S8</t>
        </is>
      </c>
      <c r="C67" s="19" t="inlineStr">
        <is>
          <t>W1</t>
        </is>
      </c>
      <c r="D67" s="19" t="inlineStr">
        <is>
          <t>Pilot</t>
        </is>
      </c>
      <c r="E67" s="24" t="inlineStr">
        <is>
          <t>Penetration test and fixes</t>
        </is>
      </c>
      <c r="F67" s="19" t="inlineStr">
        <is>
          <t>1. Book an external penetration test.
2. Fix all high and critical findings.
3. Re-test.</t>
        </is>
      </c>
      <c r="G67" s="19" t="inlineStr">
        <is>
          <t>Security signed off</t>
        </is>
      </c>
      <c r="H67" s="19" t="inlineStr">
        <is>
          <t>Security engineer</t>
        </is>
      </c>
      <c r="I67" s="19" t="inlineStr">
        <is>
          <t>You (backend)</t>
        </is>
      </c>
      <c r="J67" s="19" t="inlineStr">
        <is>
          <t>Innovo: security</t>
        </is>
      </c>
      <c r="K67" s="19" t="inlineStr">
        <is>
          <t>S7-05</t>
        </is>
      </c>
      <c r="L67" s="19" t="inlineStr">
        <is>
          <t>External pen-test slot</t>
        </is>
      </c>
      <c r="M67" s="19" t="n">
        <v>3</v>
      </c>
      <c r="N67" s="25" t="inlineStr">
        <is>
          <t>Not started</t>
        </is>
      </c>
      <c r="O67" s="19" t="inlineStr">
        <is>
          <t>No high or critical findings open</t>
        </is>
      </c>
    </row>
    <row r="68" ht="23.85" customHeight="1" s="14">
      <c r="A68" s="19" t="inlineStr">
        <is>
          <t>S8-06</t>
        </is>
      </c>
      <c r="B68" s="19" t="inlineStr">
        <is>
          <t>S8</t>
        </is>
      </c>
      <c r="C68" s="19" t="inlineStr">
        <is>
          <t>W2</t>
        </is>
      </c>
      <c r="D68" s="19" t="inlineStr">
        <is>
          <t>Pilot</t>
        </is>
      </c>
      <c r="E68" s="24" t="inlineStr">
        <is>
          <t>Short user guide</t>
        </is>
      </c>
      <c r="F68" s="19" t="inlineStr">
        <is>
          <t>1. One-page guide per role: how to find a project, read the boxes, open details.</t>
        </is>
      </c>
      <c r="G68" s="19" t="inlineStr">
        <is>
          <t>User guide</t>
        </is>
      </c>
      <c r="H68" s="19" t="inlineStr">
        <is>
          <t>Product owner</t>
        </is>
      </c>
      <c r="I68" s="19" t="inlineStr">
        <is>
          <t>Both</t>
        </is>
      </c>
      <c r="J68" s="19" t="inlineStr">
        <is>
          <t>Adoption</t>
        </is>
      </c>
      <c r="K68" s="19" t="n"/>
      <c r="L68" s="19" t="n"/>
      <c r="M68" s="19" t="n">
        <v>2</v>
      </c>
      <c r="N68" s="25" t="inlineStr">
        <is>
          <t>Not started</t>
        </is>
      </c>
      <c r="O68" s="19" t="inlineStr">
        <is>
          <t>One-page guide per role</t>
        </is>
      </c>
    </row>
    <row r="69" ht="23.85" customHeight="1" s="14">
      <c r="A69" s="19" t="inlineStr">
        <is>
          <t>S9-01</t>
        </is>
      </c>
      <c r="B69" s="19" t="inlineStr">
        <is>
          <t>S9</t>
        </is>
      </c>
      <c r="C69" s="19" t="inlineStr">
        <is>
          <t>W2</t>
        </is>
      </c>
      <c r="D69" s="19" t="inlineStr">
        <is>
          <t>Pilot</t>
        </is>
      </c>
      <c r="E69" s="24" t="inlineStr">
        <is>
          <t>Runbook and handover docs</t>
        </is>
      </c>
      <c r="F69" s="19" t="inlineStr">
        <is>
          <t>1. Write: how to deploy, how to restore, how to add a new data source, who to call when DATOMS is down.</t>
        </is>
      </c>
      <c r="G69" s="19" t="inlineStr">
        <is>
          <t>Runbook so anyone can operate Nexus</t>
        </is>
      </c>
      <c r="H69" s="19" t="inlineStr">
        <is>
          <t>Backend developer</t>
        </is>
      </c>
      <c r="I69" s="19" t="inlineStr">
        <is>
          <t>You (backend)</t>
        </is>
      </c>
      <c r="J69" s="19" t="inlineStr">
        <is>
          <t>Risks: knowledge</t>
        </is>
      </c>
      <c r="K69" s="19" t="n"/>
      <c r="L69" s="19" t="n"/>
      <c r="M69" s="19" t="n">
        <v>2</v>
      </c>
      <c r="N69" s="25" t="inlineStr">
        <is>
          <t>Not started</t>
        </is>
      </c>
      <c r="O69" s="19" t="inlineStr">
        <is>
          <t>New developer can deploy from the docs</t>
        </is>
      </c>
    </row>
    <row r="70" ht="35.05" customHeight="1" s="14">
      <c r="A70" s="19" t="inlineStr">
        <is>
          <t>S9-02</t>
        </is>
      </c>
      <c r="B70" s="19" t="inlineStr">
        <is>
          <t>S9</t>
        </is>
      </c>
      <c r="C70" s="19" t="inlineStr">
        <is>
          <t>W1</t>
        </is>
      </c>
      <c r="D70" s="19" t="inlineStr">
        <is>
          <t>Pilot</t>
        </is>
      </c>
      <c r="E70" s="24" t="inlineStr">
        <is>
          <t>User acceptance testing on GHAFWOODS with pilot users</t>
        </is>
      </c>
      <c r="F70" s="19" t="inlineStr">
        <is>
          <t>1. Give pilot users access on GHAFWOODS in **prod** (there is no test environment, ADR 0008): only pilot users are assigned to the Entra app during the pilot.
2. Walk through each screen with them.
3. Record issues in the backlog.</t>
        </is>
      </c>
      <c r="G70" s="19" t="inlineStr">
        <is>
          <t>Pilot feedback list</t>
        </is>
      </c>
      <c r="H70" s="19" t="inlineStr">
        <is>
          <t>Product owner</t>
        </is>
      </c>
      <c r="I70" s="19" t="inlineStr">
        <is>
          <t>Both</t>
        </is>
      </c>
      <c r="J70" s="19" t="inlineStr">
        <is>
          <t>Brief objectives</t>
        </is>
      </c>
      <c r="K70" s="19" t="n"/>
      <c r="L70" s="19" t="inlineStr">
        <is>
          <t>Pilot users' time</t>
        </is>
      </c>
      <c r="M70" s="19" t="n">
        <v>2</v>
      </c>
      <c r="N70" s="25" t="inlineStr">
        <is>
          <t>Not started</t>
        </is>
      </c>
      <c r="O70" s="19" t="inlineStr">
        <is>
          <t>Pilot users sign off each screen</t>
        </is>
      </c>
    </row>
    <row r="71" ht="15" customHeight="1" s="14">
      <c r="A71" s="19" t="inlineStr">
        <is>
          <t>S9-03</t>
        </is>
      </c>
      <c r="B71" s="19" t="inlineStr">
        <is>
          <t>S9</t>
        </is>
      </c>
      <c r="C71" s="19" t="inlineStr">
        <is>
          <t>W1–W2</t>
        </is>
      </c>
      <c r="D71" s="19" t="inlineStr">
        <is>
          <t>Pilot</t>
        </is>
      </c>
      <c r="E71" s="24" t="inlineStr">
        <is>
          <t>Bug fixes from pilot (backend)</t>
        </is>
      </c>
      <c r="F71" s="19" t="inlineStr">
        <is>
          <t>1. Fix backend issues from the pilot, most important first.</t>
        </is>
      </c>
      <c r="G71" s="19" t="inlineStr">
        <is>
          <t>Backend pilot issues closed</t>
        </is>
      </c>
      <c r="H71" s="19" t="inlineStr">
        <is>
          <t>Backend developer</t>
        </is>
      </c>
      <c r="I71" s="19" t="inlineStr">
        <is>
          <t>You (backend)</t>
        </is>
      </c>
      <c r="J71" s="19" t="n"/>
      <c r="K71" s="19" t="inlineStr">
        <is>
          <t>S9-02</t>
        </is>
      </c>
      <c r="L71" s="19" t="n"/>
      <c r="M71" s="19" t="n">
        <v>3</v>
      </c>
      <c r="N71" s="25" t="inlineStr">
        <is>
          <t>Not started</t>
        </is>
      </c>
      <c r="O71" s="19" t="inlineStr">
        <is>
          <t>All pilot blockers fixed</t>
        </is>
      </c>
    </row>
    <row r="72" ht="23.85" customHeight="1" s="14">
      <c r="A72" s="19" t="inlineStr">
        <is>
          <t>S9-04</t>
        </is>
      </c>
      <c r="B72" s="19" t="inlineStr">
        <is>
          <t>S9</t>
        </is>
      </c>
      <c r="C72" s="19" t="inlineStr">
        <is>
          <t>W1–W2</t>
        </is>
      </c>
      <c r="D72" s="19" t="inlineStr">
        <is>
          <t>Pilot</t>
        </is>
      </c>
      <c r="E72" s="24" t="inlineStr">
        <is>
          <t>Bug fixes from pilot (frontend)</t>
        </is>
      </c>
      <c r="F72" s="19" t="inlineStr">
        <is>
          <t>1. Fix frontend issues from the pilot, most important first.</t>
        </is>
      </c>
      <c r="G72" s="19" t="inlineStr">
        <is>
          <t>Frontend pilot issues closed</t>
        </is>
      </c>
      <c r="H72" s="19" t="inlineStr">
        <is>
          <t>Frontend developer</t>
        </is>
      </c>
      <c r="I72" s="19" t="inlineStr">
        <is>
          <t>Colleague (frontend)</t>
        </is>
      </c>
      <c r="J72" s="19" t="n"/>
      <c r="K72" s="19" t="inlineStr">
        <is>
          <t>S9-02</t>
        </is>
      </c>
      <c r="L72" s="19" t="n"/>
      <c r="M72" s="19" t="n">
        <v>3</v>
      </c>
      <c r="N72" s="25" t="inlineStr">
        <is>
          <t>Not started</t>
        </is>
      </c>
      <c r="O72" s="19" t="inlineStr">
        <is>
          <t>All pilot blockers fixed</t>
        </is>
      </c>
    </row>
    <row r="73" ht="23.85" customHeight="1" s="14">
      <c r="A73" s="19" t="inlineStr">
        <is>
          <t>S10-01</t>
        </is>
      </c>
      <c r="B73" s="19" t="inlineStr">
        <is>
          <t>S10</t>
        </is>
      </c>
      <c r="C73" s="19" t="inlineStr">
        <is>
          <t>W1</t>
        </is>
      </c>
      <c r="D73" s="19" t="inlineStr">
        <is>
          <t>Rollout</t>
        </is>
      </c>
      <c r="E73" s="24" t="inlineStr">
        <is>
          <t>Connect all DATOMS sites to production; verify auto-linking</t>
        </is>
      </c>
      <c r="F73" s="19" t="inlineStr">
        <is>
          <t>1. Point production at all DATOMS sites.
2. Check every site links to the right project; clear the admin to-do list.</t>
        </is>
      </c>
      <c r="G73" s="19" t="inlineStr">
        <is>
          <t>All sites live</t>
        </is>
      </c>
      <c r="H73" s="19" t="inlineStr">
        <is>
          <t>Data / integration engineer</t>
        </is>
      </c>
      <c r="I73" s="19" t="inlineStr">
        <is>
          <t>You (backend)</t>
        </is>
      </c>
      <c r="J73" s="19" t="inlineStr">
        <is>
          <t>Innovo: many sites</t>
        </is>
      </c>
      <c r="K73" s="19" t="inlineStr">
        <is>
          <t>S9-03</t>
        </is>
      </c>
      <c r="L73" s="19" t="n"/>
      <c r="M73" s="19" t="n">
        <v>3</v>
      </c>
      <c r="N73" s="25" t="inlineStr">
        <is>
          <t>Not started</t>
        </is>
      </c>
      <c r="O73" s="19" t="inlineStr">
        <is>
          <t>Every DATOMS site visible with correct project</t>
        </is>
      </c>
    </row>
    <row r="74" ht="23.85" customHeight="1" s="14">
      <c r="A74" s="19" t="inlineStr">
        <is>
          <t>S10-02</t>
        </is>
      </c>
      <c r="B74" s="19" t="inlineStr">
        <is>
          <t>S10</t>
        </is>
      </c>
      <c r="C74" s="19" t="inlineStr">
        <is>
          <t>W1–W2</t>
        </is>
      </c>
      <c r="D74" s="19" t="inlineStr">
        <is>
          <t>Rollout</t>
        </is>
      </c>
      <c r="E74" s="24" t="inlineStr">
        <is>
          <t>Production monitoring and cost review</t>
        </is>
      </c>
      <c r="F74" s="19" t="inlineStr">
        <is>
          <t>1. Set Azure cost alerts.
2. Review first month's cost and performance.</t>
        </is>
      </c>
      <c r="G74" s="19" t="inlineStr">
        <is>
          <t>Running costs under control</t>
        </is>
      </c>
      <c r="H74" s="19" t="inlineStr">
        <is>
          <t>DevOps engineer</t>
        </is>
      </c>
      <c r="I74" s="19" t="inlineStr">
        <is>
          <t>You (backend)</t>
        </is>
      </c>
      <c r="J74" s="19" t="inlineStr">
        <is>
          <t>Risks: cost</t>
        </is>
      </c>
      <c r="K74" s="19" t="n"/>
      <c r="L74" s="19" t="n"/>
      <c r="M74" s="19" t="n">
        <v>2</v>
      </c>
      <c r="N74" s="25" t="inlineStr">
        <is>
          <t>Not started</t>
        </is>
      </c>
      <c r="O74" s="19" t="inlineStr">
        <is>
          <t>Cost alerts set; first monthly review done</t>
        </is>
      </c>
    </row>
    <row r="75" ht="23.85" customHeight="1" s="14">
      <c r="A75" s="19" t="inlineStr">
        <is>
          <t>S10-03</t>
        </is>
      </c>
      <c r="B75" s="19" t="inlineStr">
        <is>
          <t>S10</t>
        </is>
      </c>
      <c r="C75" s="19" t="inlineStr">
        <is>
          <t>W1–W2</t>
        </is>
      </c>
      <c r="D75" s="19" t="inlineStr">
        <is>
          <t>Rollout</t>
        </is>
      </c>
      <c r="E75" s="24" t="inlineStr">
        <is>
          <t>Onboarding sessions with site teams</t>
        </is>
      </c>
      <c r="F75" s="19" t="inlineStr">
        <is>
          <t>1. Short session per site team.
2. Name a champion per site.</t>
        </is>
      </c>
      <c r="G75" s="19" t="inlineStr">
        <is>
          <t>Site teams using Nexus</t>
        </is>
      </c>
      <c r="H75" s="19" t="inlineStr">
        <is>
          <t>Product owner</t>
        </is>
      </c>
      <c r="I75" s="19" t="inlineStr">
        <is>
          <t>Both</t>
        </is>
      </c>
      <c r="J75" s="19" t="inlineStr">
        <is>
          <t>Adoption</t>
        </is>
      </c>
      <c r="K75" s="19" t="n"/>
      <c r="L75" s="19" t="n"/>
      <c r="M75" s="19" t="n">
        <v>2</v>
      </c>
      <c r="N75" s="25" t="inlineStr">
        <is>
          <t>Not started</t>
        </is>
      </c>
      <c r="O75" s="19" t="inlineStr">
        <is>
          <t>Each site has a champion trained</t>
        </is>
      </c>
    </row>
    <row r="76" ht="23.85" customHeight="1" s="14">
      <c r="A76" s="19" t="inlineStr">
        <is>
          <t>S10-04</t>
        </is>
      </c>
      <c r="B76" s="19" t="inlineStr">
        <is>
          <t>S10</t>
        </is>
      </c>
      <c r="C76" s="19" t="inlineStr">
        <is>
          <t>W2</t>
        </is>
      </c>
      <c r="D76" s="19" t="inlineStr">
        <is>
          <t>Rollout</t>
        </is>
      </c>
      <c r="E76" s="24" t="inlineStr">
        <is>
          <t>Phase 2 backlog grooming (reporting feed, BIM, AI)</t>
        </is>
      </c>
      <c r="F76" s="19" t="inlineStr">
        <is>
          <t>1. List phase 2 items (reporting feed, BIM, AI).
2. Estimate and order them.</t>
        </is>
      </c>
      <c r="G76" s="19" t="inlineStr">
        <is>
          <t>Phase 2 backlog ready</t>
        </is>
      </c>
      <c r="H76" s="19" t="inlineStr">
        <is>
          <t>Product owner</t>
        </is>
      </c>
      <c r="I76" s="19" t="inlineStr">
        <is>
          <t>Both</t>
        </is>
      </c>
      <c r="J76" s="19" t="inlineStr">
        <is>
          <t>Future</t>
        </is>
      </c>
      <c r="K76" s="19" t="n"/>
      <c r="L76" s="19" t="n"/>
      <c r="M76" s="19" t="n">
        <v>1</v>
      </c>
      <c r="N76" s="25" t="inlineStr">
        <is>
          <t>Not started</t>
        </is>
      </c>
      <c r="O76" s="19" t="inlineStr">
        <is>
          <t>Phase 2 backlog estimated</t>
        </is>
      </c>
    </row>
    <row r="77" ht="23.85" customHeight="1" s="14">
      <c r="A77" s="19" t="inlineStr">
        <is>
          <t>S10-05</t>
        </is>
      </c>
      <c r="B77" s="19" t="inlineStr">
        <is>
          <t>S10</t>
        </is>
      </c>
      <c r="C77" s="19" t="inlineStr">
        <is>
          <t>W1–W2</t>
        </is>
      </c>
      <c r="D77" s="19" t="inlineStr">
        <is>
          <t>Rollout</t>
        </is>
      </c>
      <c r="E77" s="24" t="inlineStr">
        <is>
          <t>UI fixes from rollout feedback</t>
        </is>
      </c>
      <c r="F77" s="19" t="inlineStr">
        <is>
          <t>1. Fix UI feedback from rollout, most important first.</t>
        </is>
      </c>
      <c r="G77" s="19" t="inlineStr">
        <is>
          <t>Rollout feedback closed</t>
        </is>
      </c>
      <c r="H77" s="19" t="inlineStr">
        <is>
          <t>Frontend developer</t>
        </is>
      </c>
      <c r="I77" s="19" t="inlineStr">
        <is>
          <t>Colleague (frontend)</t>
        </is>
      </c>
      <c r="J77" s="19" t="n"/>
      <c r="K77" s="19" t="n"/>
      <c r="L77" s="19" t="n"/>
      <c r="M77" s="19" t="n">
        <v>3</v>
      </c>
      <c r="N77" s="25" t="inlineStr">
        <is>
          <t>Not started</t>
        </is>
      </c>
      <c r="O77" s="19" t="inlineStr">
        <is>
          <t>Feedback items closed</t>
        </is>
      </c>
    </row>
    <row r="78" s="14"/>
    <row r="79" ht="15" customHeight="1" s="14">
      <c r="L79" s="16" t="inlineStr">
        <is>
          <t>Total days</t>
        </is>
      </c>
      <c r="M79" s="16">
        <f>SUM(M2:M77)</f>
        <v/>
      </c>
    </row>
    <row r="80" s="14"/>
  </sheetData>
  <autoFilter ref="A1:O77"/>
  <conditionalFormatting sqref="A2:O77">
    <cfRule type="expression" rank="0" priority="2" equalAverage="0" aboveAverage="0" dxfId="4" text="" percent="0" bottom="0">
      <formula>$N2="Blocked"</formula>
    </cfRule>
    <cfRule type="expression" rank="0" priority="3" equalAverage="0" aboveAverage="0" dxfId="5" text="" percent="0" bottom="0">
      <formula>$N2="Done"</formula>
    </cfRule>
  </conditionalFormatting>
  <dataValidations count="1">
    <dataValidation sqref="N2:N77" showDropDown="0" showInputMessage="0" showErrorMessage="0" allowBlank="0" type="list" errorStyle="stop" operator="between">
      <formula1>"Not started,In progress,Blocked,Done"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D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6" customWidth="1" style="13" min="1" max="1"/>
    <col width="55" customWidth="1" style="13" min="2" max="2"/>
    <col width="45" customWidth="1" style="13" min="3" max="4"/>
  </cols>
  <sheetData>
    <row r="1" ht="17.35" customHeight="1" s="14">
      <c r="A1" s="15" t="inlineStr">
        <is>
          <t>Architecture for a 2-person team (scales without a rewrite)</t>
        </is>
      </c>
    </row>
    <row r="3" ht="15" customHeight="1" s="14">
      <c r="A3" s="26" t="inlineStr">
        <is>
          <t>Layer</t>
        </is>
      </c>
      <c r="B3" s="26" t="inlineStr">
        <is>
          <t>Choice</t>
        </is>
      </c>
      <c r="C3" s="26" t="inlineStr">
        <is>
          <t>Why</t>
        </is>
      </c>
      <c r="D3" s="26" t="inlineStr">
        <is>
          <t>How it scales later</t>
        </is>
      </c>
    </row>
    <row r="4" ht="35.05" customHeight="1" s="14">
      <c r="A4" s="19" t="inlineStr">
        <is>
          <t>Style</t>
        </is>
      </c>
      <c r="B4" s="19" t="inlineStr">
        <is>
          <t>Modular monolith: one API app with modules (Projects, Assets, Telemetry, Materials, Media, Notifications, Access, Admin) + one DATOMS sync worker</t>
        </is>
      </c>
      <c r="C4" s="19" t="inlineStr">
        <is>
          <t>Fewest moving parts for 2 people; one deploy, one log, one database</t>
        </is>
      </c>
      <c r="D4" s="19" t="inlineStr">
        <is>
          <t>Each module owns its tables, so any module can become its own service</t>
        </is>
      </c>
    </row>
    <row r="5" ht="23.85" customHeight="1" s="14">
      <c r="A5" s="19" t="inlineStr">
        <is>
          <t>Repo</t>
        </is>
      </c>
      <c r="B5" s="19" t="inlineStr">
        <is>
          <t>Monorepo: apps/web, apps/api, apps/worker, packages/shared</t>
        </is>
      </c>
      <c r="C5" s="19" t="inlineStr">
        <is>
          <t>Shared TypeScript types between frontend and backend; one CI pipeline</t>
        </is>
      </c>
      <c r="D5" s="19" t="inlineStr">
        <is>
          <t>Add apps/bim, apps/reporting later in the same repo</t>
        </is>
      </c>
    </row>
    <row r="6" ht="35.05" customHeight="1" s="14">
      <c r="A6" s="19" t="inlineStr">
        <is>
          <t>Frontend</t>
        </is>
      </c>
      <c r="B6" s="19" t="inlineStr">
        <is>
          <t>React + TypeScript (Vite), Esri ArcGIS Maps SDK for JavaScript (MapView 2D/satellite, SceneView 3D) behind one MapView wrapper, Apache ECharts, MSAL for sign-in</t>
        </is>
      </c>
      <c r="C6" s="19" t="inlineStr">
        <is>
          <t>Matches the mockups (Satellite / 2D / 3D); best path to BIM; the wrapper keeps the provider swappable</t>
        </is>
      </c>
      <c r="D6" s="19" t="inlineStr">
        <is>
          <t>3D/BIM viewer added as a new route</t>
        </is>
      </c>
    </row>
    <row r="7" ht="23.85" customHeight="1" s="14">
      <c r="A7" s="19" t="inlineStr">
        <is>
          <t>Backend API</t>
        </is>
      </c>
      <c r="B7" s="19" t="inlineStr">
        <is>
          <t>Node.js + NestJS (TypeScript), OpenAPI contract, typed client generated for the web app</t>
        </is>
      </c>
      <c r="C7" s="19" t="inlineStr">
        <is>
          <t>Same language as the frontend, so both of you can read and fix either side</t>
        </is>
      </c>
      <c r="D7" s="19" t="inlineStr">
        <is>
          <t>Scale out containers; split modules if needed</t>
        </is>
      </c>
    </row>
    <row r="8" ht="23.85" customHeight="1" s="14">
      <c r="A8" s="19" t="inlineStr">
        <is>
          <t>Sync worker</t>
        </is>
      </c>
      <c r="B8" s="19" t="inlineStr">
        <is>
          <t>Same codebase, separate process: catalogue hourly, live values and notifications every minute (history backfill on hold, see S3-04)</t>
        </is>
      </c>
      <c r="C8" s="19" t="inlineStr">
        <is>
          <t>DATOMS is the only source; polling needs no message queue</t>
        </is>
      </c>
      <c r="D8" s="19" t="inlineStr">
        <is>
          <t>Add a queue (Service Bus / Event Hubs) only if DATOMS pushes bursts; one worker per new platform</t>
        </is>
      </c>
    </row>
    <row r="9" ht="23.85" customHeight="1" s="14">
      <c r="A9" s="19" t="inlineStr">
        <is>
          <t>Database</t>
        </is>
      </c>
      <c r="B9" s="19" t="inlineStr">
        <is>
          <t>Azure Database for PostgreSQL Flexible Server 16, native partitioning + Nexus rollup tables (5 min / 1 h / 1 day); no TimescaleDB dependency (Azure supports only its Apache edition)</t>
        </is>
      </c>
      <c r="C9" s="19" t="inlineStr">
        <is>
          <t>One server to run; charts read automatic 1-min / 1-hour / 1-day summaries</t>
        </is>
      </c>
      <c r="D9" s="19" t="inlineStr">
        <is>
          <t>Read replica; move telemetry to its own server or Azure Data Explorer at billions of rows</t>
        </is>
      </c>
    </row>
    <row r="10" ht="23.85" customHeight="1" s="14">
      <c r="A10" s="19" t="inlineStr">
        <is>
          <t>Latest values</t>
        </is>
      </c>
      <c r="B10" s="19" t="inlineStr">
        <is>
          <t>Latest-value table in PostgreSQL, cached in memory per API instance</t>
        </is>
      </c>
      <c r="C10" s="19" t="inlineStr">
        <is>
          <t>No Redis to manage in phase 1</t>
        </is>
      </c>
      <c r="D10" s="19" t="inlineStr">
        <is>
          <t>Add Azure Cache for Redis when there are many API instances</t>
        </is>
      </c>
    </row>
    <row r="11" ht="23.85" customHeight="1" s="14">
      <c r="A11" s="19" t="inlineStr">
        <is>
          <t>Live updates</t>
        </is>
      </c>
      <c r="B11" s="19" t="inlineStr">
        <is>
          <t>Azure Web PubSub</t>
        </is>
      </c>
      <c r="C11" s="19" t="inlineStr">
        <is>
          <t>Pushes pin and box changes to open browsers; works across many API instances</t>
        </is>
      </c>
      <c r="D11" s="19" t="inlineStr">
        <is>
          <t>Already managed and scalable</t>
        </is>
      </c>
    </row>
    <row r="12" ht="15" customHeight="1" s="14">
      <c r="A12" s="19" t="inlineStr">
        <is>
          <t>Files</t>
        </is>
      </c>
      <c r="B12" s="19" t="inlineStr">
        <is>
          <t>Azure Blob Storage with short-lived SAS links</t>
        </is>
      </c>
      <c r="C12" s="19" t="inlineStr">
        <is>
          <t>Photos, videos, drone files, site plans; never public</t>
        </is>
      </c>
      <c r="D12" s="19" t="inlineStr">
        <is>
          <t>Same store for BIM models later</t>
        </is>
      </c>
    </row>
    <row r="13" ht="23.85" customHeight="1" s="14">
      <c r="A13" s="19" t="inlineStr">
        <is>
          <t>Identity</t>
        </is>
      </c>
      <c r="B13" s="19" t="inlineStr">
        <is>
          <t>Microsoft Entra ID; groups mapped to Nexus roles; project scope checked in the API</t>
        </is>
      </c>
      <c r="C13" s="19" t="inlineStr">
        <is>
          <t>Employees only; no passwords in Nexus</t>
        </is>
      </c>
      <c r="D13" s="19" t="inlineStr">
        <is>
          <t>Same model covers new modules</t>
        </is>
      </c>
    </row>
    <row r="14" ht="23.85" customHeight="1" s="14">
      <c r="A14" s="19" t="inlineStr">
        <is>
          <t>Hosting</t>
        </is>
      </c>
      <c r="B14" s="19" t="inlineStr">
        <is>
          <t>Azure UAE North. Azure Container Apps (API + worker), Azure Static Web Apps (web)</t>
        </is>
      </c>
      <c r="C14" s="19" t="inlineStr">
        <is>
          <t>Simpler than Kubernetes; scales automatically</t>
        </is>
      </c>
      <c r="D14" s="19" t="inlineStr">
        <is>
          <t>Move to AKS only if ever needed</t>
        </is>
      </c>
    </row>
    <row r="15" ht="23.85" customHeight="1" s="14">
      <c r="A15" s="19" t="inlineStr">
        <is>
          <t>Operations</t>
        </is>
      </c>
      <c r="B15" s="19" t="inlineStr">
        <is>
          <t>Bicep for infrastructure, GitHub Actions or Azure DevOps, Key Vault, Application Insights, dev + prod environments</t>
        </is>
      </c>
      <c r="C15" s="19" t="inlineStr">
        <is>
          <t>Rebuild any environment from code; keys never in code</t>
        </is>
      </c>
      <c r="D15" s="19" t="inlineStr">
        <is>
          <t>Add a staging environment when the team grows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C1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4" customWidth="1" style="13" min="1" max="1"/>
    <col width="50" customWidth="1" style="13" min="2" max="2"/>
    <col width="60" customWidth="1" style="13" min="3" max="3"/>
  </cols>
  <sheetData>
    <row r="1" ht="17.35" customHeight="1" s="14">
      <c r="A1" s="15" t="inlineStr">
        <is>
          <t>Phase 2 and later: what phase 1 already prepares</t>
        </is>
      </c>
    </row>
    <row r="3" ht="15" customHeight="1" s="14">
      <c r="A3" s="26" t="inlineStr">
        <is>
          <t>Feature</t>
        </is>
      </c>
      <c r="B3" s="26" t="inlineStr">
        <is>
          <t>Prepared in phase 1</t>
        </is>
      </c>
      <c r="C3" s="26" t="inlineStr">
        <is>
          <t>Work needed later</t>
        </is>
      </c>
    </row>
    <row r="4" ht="23.85" customHeight="1" s="14">
      <c r="A4" s="19" t="inlineStr">
        <is>
          <t>Tracked materials (structure sheet L2, info box 4)</t>
        </is>
      </c>
      <c r="B4" s="19" t="inlineStr">
        <is>
          <t>Space kept on the project page; data model can add a material table</t>
        </is>
      </c>
      <c r="C4" s="19" t="inlineStr">
        <is>
          <t>Build once Innovo confirms where materials data comes from (DATOMS sensors or entry in Nexus)</t>
        </is>
      </c>
    </row>
    <row r="5" ht="15" customHeight="1" s="14">
      <c r="A5" s="19" t="inlineStr">
        <is>
          <t>Weather box</t>
        </is>
      </c>
      <c r="B5" s="19" t="inlineStr">
        <is>
          <t>Space kept on the project page</t>
        </is>
      </c>
      <c r="C5" s="19" t="inlineStr">
        <is>
          <t>Choose a weather source; small API + box</t>
        </is>
      </c>
    </row>
    <row r="6" ht="15" customHeight="1" s="14">
      <c r="A6" s="19" t="inlineStr">
        <is>
          <t>Project gallery, drone library, 2D site plan</t>
        </is>
      </c>
      <c r="B6" s="19" t="inlineStr">
        <is>
          <t>Blob storage already in the Azure setup</t>
        </is>
      </c>
      <c r="C6" s="19" t="inlineStr">
        <is>
          <t>Media module: uploads, gallery, drone library, site plan overlay</t>
        </is>
      </c>
    </row>
    <row r="7" ht="23.85" customHeight="1" s="14">
      <c r="A7" s="19" t="inlineStr">
        <is>
          <t>Manpower and HSE (info box 1, LTIFR, safe man-hours)</t>
        </is>
      </c>
      <c r="B7" s="19" t="inlineStr">
        <is>
          <t>Generic reading model; space kept on the project page</t>
        </is>
      </c>
      <c r="C7" s="19" t="inlineStr">
        <is>
          <t>Build once the source is confirmed (DATOMS, access control or HSE system)</t>
        </is>
      </c>
    </row>
    <row r="8" ht="15" customHeight="1" s="14">
      <c r="A8" s="19" t="inlineStr">
        <is>
          <t>Live CCTV and AI camera events</t>
        </is>
      </c>
      <c r="B8" s="19" t="inlineStr">
        <is>
          <t>CCTV permission already in the access model</t>
        </is>
      </c>
      <c r="C8" s="19" t="inlineStr">
        <is>
          <t>Build once the video system is named</t>
        </is>
      </c>
    </row>
    <row r="9" ht="23.85" customHeight="1" s="14">
      <c r="A9" s="19" t="inlineStr">
        <is>
          <t>Project details DATOMS lacks (client, consultant, PM)</t>
        </is>
      </c>
      <c r="B9" s="19" t="inlineStr">
        <is>
          <t>Project table has the fields</t>
        </is>
      </c>
      <c r="C9" s="19" t="inlineStr">
        <is>
          <t>Admin form, if DATOMS does not hold them</t>
        </is>
      </c>
    </row>
    <row r="10" ht="15" customHeight="1" s="14">
      <c r="A10" s="19" t="inlineStr">
        <is>
          <t>Read-only feed for the reporting app</t>
        </is>
      </c>
      <c r="B10" s="19" t="inlineStr">
        <is>
          <t>OpenAPI contract, permissions, audit log</t>
        </is>
      </c>
      <c r="C10" s="19" t="inlineStr">
        <is>
          <t>A Reporting module with read-only endpoints and a service account</t>
        </is>
      </c>
    </row>
    <row r="11" ht="23.85" customHeight="1" s="14">
      <c r="A11" s="19" t="inlineStr">
        <is>
          <t>BIM digital twin</t>
        </is>
      </c>
      <c r="B11" s="19" t="inlineStr">
        <is>
          <t>Building / level / zone IDs on every asset; Blob storage</t>
        </is>
      </c>
      <c r="C11" s="19" t="inlineStr">
        <is>
          <t>BIM module: Autodesk APS (or IFC viewer) + link model elements to zones and assets. Decide where models are stored</t>
        </is>
      </c>
    </row>
    <row r="12" ht="23.85" customHeight="1" s="14">
      <c r="A12" s="19" t="inlineStr">
        <is>
          <t>New sensor types</t>
        </is>
      </c>
      <c r="B12" s="19" t="inlineStr">
        <is>
          <t>Generic parameter + reading model; catalogue sync picks up new parameters</t>
        </is>
      </c>
      <c r="C12" s="19" t="inlineStr">
        <is>
          <t>Nothing for DATOMS sensors; new screens only if wanted</t>
        </is>
      </c>
    </row>
    <row r="13" ht="15" customHeight="1" s="14">
      <c r="A13" s="19" t="inlineStr">
        <is>
          <t>Another data platform</t>
        </is>
      </c>
      <c r="B13" s="19" t="inlineStr">
        <is>
          <t>Device has a source-system field; connector layer separate</t>
        </is>
      </c>
      <c r="C13" s="19" t="inlineStr">
        <is>
          <t>One new worker writing to the same tables</t>
        </is>
      </c>
    </row>
    <row r="14" ht="15" customHeight="1" s="14">
      <c r="A14" s="19" t="inlineStr">
        <is>
          <t>AI and analytics</t>
        </is>
      </c>
      <c r="B14" s="19" t="inlineStr">
        <is>
          <t>All readings kept in PostgreSQL (raw packets + rollups); old partitions can be archived to Blob</t>
        </is>
      </c>
      <c r="C14" s="19" t="inlineStr">
        <is>
          <t>Separate Python service reading the telemetry schema</t>
        </is>
      </c>
    </row>
    <row r="15" ht="23.85" customHeight="1" s="14">
      <c r="A15" s="19" t="inlineStr">
        <is>
          <t>Mockup-only items (KPI scores, activities, delays, WIR/MIR)</t>
        </is>
      </c>
      <c r="B15" s="19" t="inlineStr">
        <is>
          <t>Project page has room in the side panel</t>
        </is>
      </c>
      <c r="C15" s="19" t="inlineStr">
        <is>
          <t>Confirm source; add module</t>
        </is>
      </c>
    </row>
    <row r="16" ht="15" customHeight="1" s="14">
      <c r="A16" s="19" t="inlineStr">
        <is>
          <t>Native mobile app</t>
        </is>
      </c>
      <c r="B16" s="19" t="inlineStr">
        <is>
          <t>All features behind one API</t>
        </is>
      </c>
      <c r="C16" s="19" t="inlineStr">
        <is>
          <t>Mobile client only</t>
        </is>
      </c>
    </row>
    <row r="17" ht="15" customHeight="1" s="14">
      <c r="A17" s="19" t="inlineStr">
        <is>
          <t>Many more users and sites</t>
        </is>
      </c>
      <c r="B17" s="19" t="inlineStr">
        <is>
          <t>Stateless API, Web PubSub, summaries, load-test harness</t>
        </is>
      </c>
      <c r="C17" s="19" t="inlineStr">
        <is>
          <t>Add containers, Redis, read replica as load grows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2026-10-05T07:38:58Z</dcterms:created>
  <dcterms:modified xsi:type="dcterms:W3CDTF">2026-10-12T05:50:47Z</dcterms:modified>
  <cp:revision>0</cp:revision>
</cp:coreProperties>
</file>